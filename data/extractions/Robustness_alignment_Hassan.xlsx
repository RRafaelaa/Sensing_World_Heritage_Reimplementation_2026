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ud365-my.sharepoint.com/personal/nbai_tudelft_nl/Documents/Papers/JSC/Writing/Review_screening/"/>
    </mc:Choice>
  </mc:AlternateContent>
  <xr:revisionPtr revIDLastSave="2" documentId="11_D8A57CA65198454933B570DCDD6D229342705250" xr6:coauthVersionLast="47" xr6:coauthVersionMax="47" xr10:uidLastSave="{6B873666-2838-4CD2-9874-F9A920CB8F2F}"/>
  <bookViews>
    <workbookView xWindow="-16320" yWindow="1605" windowWidth="16440" windowHeight="28320" tabRatio="500" activeTab="2" xr2:uid="{00000000-000D-0000-FFFF-FFFF00000000}"/>
  </bookViews>
  <sheets>
    <sheet name="Read me" sheetId="1" r:id="rId1"/>
    <sheet name="Per field" sheetId="2" r:id="rId2"/>
    <sheet name="Per theme" sheetId="3" r:id="rId3"/>
    <sheet name="Other datasets - fields" sheetId="4" r:id="rId4"/>
    <sheet name="Other datasets - summary" sheetId="5" r:id="rId5"/>
  </sheets>
  <definedNames>
    <definedName name="_xlnm._FilterDatabase" localSheetId="3" hidden="1">'Other datasets - fields'!$A$1:$H$138</definedName>
    <definedName name="_xlnm._FilterDatabase" localSheetId="1" hidden="1">'Per field'!$A$1:$R$136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6" i="5" l="1"/>
  <c r="G6" i="5"/>
  <c r="F6" i="5"/>
  <c r="E6" i="5"/>
  <c r="D6" i="5"/>
  <c r="B6" i="5"/>
  <c r="J5" i="5"/>
  <c r="G5" i="5"/>
  <c r="F5" i="5"/>
  <c r="E5" i="5"/>
  <c r="D5" i="5"/>
  <c r="B5" i="5"/>
  <c r="J4" i="5"/>
  <c r="G4" i="5"/>
  <c r="F4" i="5"/>
  <c r="C4" i="5" s="1"/>
  <c r="E4" i="5"/>
  <c r="D4" i="5"/>
  <c r="B4" i="5"/>
  <c r="J3" i="5"/>
  <c r="G3" i="5"/>
  <c r="F3" i="5"/>
  <c r="E3" i="5"/>
  <c r="D3" i="5"/>
  <c r="C3" i="5"/>
  <c r="B3" i="5"/>
  <c r="J59" i="3"/>
  <c r="J57" i="3"/>
  <c r="G57" i="3"/>
  <c r="F57" i="3"/>
  <c r="E57" i="3"/>
  <c r="D57" i="3"/>
  <c r="C57" i="3"/>
  <c r="B57" i="3"/>
  <c r="J56" i="3"/>
  <c r="G56" i="3"/>
  <c r="F56" i="3"/>
  <c r="E56" i="3"/>
  <c r="D56" i="3"/>
  <c r="B56" i="3"/>
  <c r="J55" i="3"/>
  <c r="G55" i="3"/>
  <c r="F55" i="3"/>
  <c r="E55" i="3"/>
  <c r="D55" i="3"/>
  <c r="C55" i="3"/>
  <c r="B55" i="3"/>
  <c r="J54" i="3"/>
  <c r="G54" i="3"/>
  <c r="F54" i="3"/>
  <c r="E54" i="3"/>
  <c r="D54" i="3"/>
  <c r="C54" i="3"/>
  <c r="B54" i="3"/>
  <c r="J53" i="3"/>
  <c r="I53" i="3"/>
  <c r="H53" i="3"/>
  <c r="G53" i="3"/>
  <c r="F53" i="3"/>
  <c r="E53" i="3"/>
  <c r="D53" i="3"/>
  <c r="C53" i="3"/>
  <c r="B53" i="3"/>
  <c r="J52" i="3"/>
  <c r="G52" i="3"/>
  <c r="F52" i="3"/>
  <c r="E52" i="3"/>
  <c r="D52" i="3"/>
  <c r="C52" i="3"/>
  <c r="B52" i="3"/>
  <c r="J51" i="3"/>
  <c r="G51" i="3"/>
  <c r="F51" i="3"/>
  <c r="E51" i="3"/>
  <c r="E59" i="3" s="1"/>
  <c r="D51" i="3"/>
  <c r="C51" i="3"/>
  <c r="B51" i="3"/>
  <c r="J50" i="3"/>
  <c r="G50" i="3"/>
  <c r="F50" i="3"/>
  <c r="E50" i="3"/>
  <c r="D50" i="3"/>
  <c r="C50" i="3"/>
  <c r="B50" i="3"/>
  <c r="J49" i="3"/>
  <c r="G49" i="3"/>
  <c r="F49" i="3"/>
  <c r="E49" i="3"/>
  <c r="D49" i="3"/>
  <c r="C49" i="3"/>
  <c r="B49" i="3"/>
  <c r="B59" i="3" s="1"/>
  <c r="J48" i="3"/>
  <c r="G48" i="3"/>
  <c r="F48" i="3"/>
  <c r="E48" i="3"/>
  <c r="E58" i="3" s="1"/>
  <c r="D48" i="3"/>
  <c r="D58" i="3" s="1"/>
  <c r="B48" i="3"/>
  <c r="B58" i="3" s="1"/>
  <c r="J44" i="3"/>
  <c r="J42" i="3"/>
  <c r="G42" i="3"/>
  <c r="F42" i="3"/>
  <c r="E42" i="3"/>
  <c r="D42" i="3"/>
  <c r="C42" i="3"/>
  <c r="B42" i="3"/>
  <c r="J41" i="3"/>
  <c r="G41" i="3"/>
  <c r="F41" i="3"/>
  <c r="E41" i="3"/>
  <c r="D41" i="3"/>
  <c r="C41" i="3"/>
  <c r="B41" i="3"/>
  <c r="J40" i="3"/>
  <c r="G40" i="3"/>
  <c r="F40" i="3"/>
  <c r="E40" i="3"/>
  <c r="D40" i="3"/>
  <c r="B40" i="3"/>
  <c r="J39" i="3"/>
  <c r="G39" i="3"/>
  <c r="F39" i="3"/>
  <c r="E39" i="3"/>
  <c r="D39" i="3"/>
  <c r="C39" i="3"/>
  <c r="B39" i="3"/>
  <c r="J38" i="3"/>
  <c r="G38" i="3"/>
  <c r="F38" i="3"/>
  <c r="E38" i="3"/>
  <c r="D38" i="3"/>
  <c r="C38" i="3"/>
  <c r="B38" i="3"/>
  <c r="J37" i="3"/>
  <c r="I37" i="3"/>
  <c r="H37" i="3"/>
  <c r="G37" i="3"/>
  <c r="F37" i="3"/>
  <c r="E37" i="3"/>
  <c r="D37" i="3"/>
  <c r="C37" i="3"/>
  <c r="B37" i="3"/>
  <c r="J36" i="3"/>
  <c r="G36" i="3"/>
  <c r="F36" i="3"/>
  <c r="E36" i="3"/>
  <c r="D36" i="3"/>
  <c r="C36" i="3"/>
  <c r="B36" i="3"/>
  <c r="J35" i="3"/>
  <c r="G35" i="3"/>
  <c r="F35" i="3"/>
  <c r="E35" i="3"/>
  <c r="D35" i="3"/>
  <c r="C35" i="3"/>
  <c r="B35" i="3"/>
  <c r="J34" i="3"/>
  <c r="G34" i="3"/>
  <c r="F34" i="3"/>
  <c r="E34" i="3"/>
  <c r="D34" i="3"/>
  <c r="B34" i="3"/>
  <c r="J33" i="3"/>
  <c r="G33" i="3"/>
  <c r="F33" i="3"/>
  <c r="E33" i="3"/>
  <c r="D33" i="3"/>
  <c r="B33" i="3"/>
  <c r="J29" i="3"/>
  <c r="G29" i="3"/>
  <c r="F29" i="3"/>
  <c r="J27" i="3"/>
  <c r="G27" i="3"/>
  <c r="F27" i="3"/>
  <c r="E27" i="3"/>
  <c r="D27" i="3"/>
  <c r="C27" i="3"/>
  <c r="B27" i="3"/>
  <c r="J26" i="3"/>
  <c r="G26" i="3"/>
  <c r="F26" i="3"/>
  <c r="E26" i="3"/>
  <c r="D26" i="3"/>
  <c r="C26" i="3"/>
  <c r="B26" i="3"/>
  <c r="J25" i="3"/>
  <c r="G25" i="3"/>
  <c r="F25" i="3"/>
  <c r="E25" i="3"/>
  <c r="D25" i="3"/>
  <c r="C25" i="3"/>
  <c r="B25" i="3"/>
  <c r="J24" i="3"/>
  <c r="G24" i="3"/>
  <c r="F24" i="3"/>
  <c r="E24" i="3"/>
  <c r="D24" i="3"/>
  <c r="B24" i="3"/>
  <c r="J23" i="3"/>
  <c r="G23" i="3"/>
  <c r="F23" i="3"/>
  <c r="E23" i="3"/>
  <c r="D23" i="3"/>
  <c r="C23" i="3"/>
  <c r="B23" i="3"/>
  <c r="J22" i="3"/>
  <c r="G22" i="3"/>
  <c r="F22" i="3"/>
  <c r="E22" i="3"/>
  <c r="D22" i="3"/>
  <c r="C22" i="3"/>
  <c r="B22" i="3"/>
  <c r="J21" i="3"/>
  <c r="I21" i="3"/>
  <c r="H21" i="3"/>
  <c r="G21" i="3"/>
  <c r="F21" i="3"/>
  <c r="E21" i="3"/>
  <c r="D21" i="3"/>
  <c r="C21" i="3"/>
  <c r="B21" i="3"/>
  <c r="J20" i="3"/>
  <c r="G20" i="3"/>
  <c r="F20" i="3"/>
  <c r="E20" i="3"/>
  <c r="D20" i="3"/>
  <c r="C20" i="3"/>
  <c r="B20" i="3"/>
  <c r="J19" i="3"/>
  <c r="G19" i="3"/>
  <c r="F19" i="3"/>
  <c r="E19" i="3"/>
  <c r="D19" i="3"/>
  <c r="B19" i="3"/>
  <c r="J18" i="3"/>
  <c r="G18" i="3"/>
  <c r="G28" i="3" s="1"/>
  <c r="F18" i="3"/>
  <c r="F28" i="3" s="1"/>
  <c r="E18" i="3"/>
  <c r="D18" i="3"/>
  <c r="B18" i="3"/>
  <c r="J14" i="3"/>
  <c r="G14" i="3"/>
  <c r="F14" i="3"/>
  <c r="E14" i="3"/>
  <c r="D14" i="3"/>
  <c r="G13" i="3"/>
  <c r="F13" i="3"/>
  <c r="J12" i="3"/>
  <c r="G12" i="3"/>
  <c r="F12" i="3"/>
  <c r="E12" i="3"/>
  <c r="D12" i="3"/>
  <c r="C12" i="3"/>
  <c r="B12" i="3"/>
  <c r="J11" i="3"/>
  <c r="G11" i="3"/>
  <c r="F11" i="3"/>
  <c r="E11" i="3"/>
  <c r="D11" i="3"/>
  <c r="C11" i="3"/>
  <c r="B11" i="3"/>
  <c r="B14" i="3" s="1"/>
  <c r="J10" i="3"/>
  <c r="G10" i="3"/>
  <c r="F10" i="3"/>
  <c r="E10" i="3"/>
  <c r="D10" i="3"/>
  <c r="C10" i="3"/>
  <c r="B10" i="3"/>
  <c r="J9" i="3"/>
  <c r="G9" i="3"/>
  <c r="F9" i="3"/>
  <c r="E9" i="3"/>
  <c r="D9" i="3"/>
  <c r="C9" i="3"/>
  <c r="B9" i="3"/>
  <c r="J8" i="3"/>
  <c r="G8" i="3"/>
  <c r="F8" i="3"/>
  <c r="E8" i="3"/>
  <c r="D8" i="3"/>
  <c r="B8" i="3"/>
  <c r="J7" i="3"/>
  <c r="G7" i="3"/>
  <c r="F7" i="3"/>
  <c r="E7" i="3"/>
  <c r="D7" i="3"/>
  <c r="C7" i="3"/>
  <c r="B7" i="3"/>
  <c r="J6" i="3"/>
  <c r="G6" i="3"/>
  <c r="F6" i="3"/>
  <c r="E6" i="3"/>
  <c r="D6" i="3"/>
  <c r="B6" i="3"/>
  <c r="J5" i="3"/>
  <c r="I5" i="3"/>
  <c r="H5" i="3"/>
  <c r="G5" i="3"/>
  <c r="F5" i="3"/>
  <c r="E5" i="3"/>
  <c r="D5" i="3"/>
  <c r="C5" i="3"/>
  <c r="B5" i="3"/>
  <c r="J4" i="3"/>
  <c r="G4" i="3"/>
  <c r="F4" i="3"/>
  <c r="E4" i="3"/>
  <c r="D4" i="3"/>
  <c r="C4" i="3"/>
  <c r="B4" i="3"/>
  <c r="J3" i="3"/>
  <c r="G3" i="3"/>
  <c r="F3" i="3"/>
  <c r="E3" i="3"/>
  <c r="E13" i="3" s="1"/>
  <c r="D3" i="3"/>
  <c r="C3" i="3"/>
  <c r="B3" i="3"/>
  <c r="B13" i="3" s="1"/>
  <c r="C6" i="5" l="1"/>
  <c r="C5" i="5"/>
  <c r="H5" i="5" s="1"/>
  <c r="I5" i="5"/>
  <c r="I4" i="5"/>
  <c r="H4" i="5"/>
  <c r="I3" i="5"/>
  <c r="H3" i="5"/>
  <c r="I57" i="3"/>
  <c r="H57" i="3"/>
  <c r="C56" i="3"/>
  <c r="I55" i="3"/>
  <c r="H55" i="3"/>
  <c r="I54" i="3"/>
  <c r="H54" i="3"/>
  <c r="H52" i="3"/>
  <c r="I52" i="3"/>
  <c r="D59" i="3"/>
  <c r="H51" i="3"/>
  <c r="I51" i="3"/>
  <c r="I50" i="3"/>
  <c r="H50" i="3"/>
  <c r="I49" i="3"/>
  <c r="H49" i="3"/>
  <c r="G59" i="3"/>
  <c r="G58" i="3"/>
  <c r="F59" i="3"/>
  <c r="F58" i="3"/>
  <c r="C48" i="3"/>
  <c r="I42" i="3"/>
  <c r="H42" i="3"/>
  <c r="I41" i="3"/>
  <c r="H41" i="3"/>
  <c r="C40" i="3"/>
  <c r="I40" i="3"/>
  <c r="H40" i="3"/>
  <c r="I39" i="3"/>
  <c r="H39" i="3"/>
  <c r="I38" i="3"/>
  <c r="H38" i="3"/>
  <c r="I36" i="3"/>
  <c r="H36" i="3"/>
  <c r="I35" i="3"/>
  <c r="H35" i="3"/>
  <c r="C34" i="3"/>
  <c r="G43" i="3"/>
  <c r="G44" i="3"/>
  <c r="F43" i="3"/>
  <c r="F44" i="3"/>
  <c r="E44" i="3"/>
  <c r="E43" i="3"/>
  <c r="D43" i="3"/>
  <c r="D44" i="3"/>
  <c r="C33" i="3"/>
  <c r="B43" i="3"/>
  <c r="B44" i="3"/>
  <c r="I27" i="3"/>
  <c r="H27" i="3"/>
  <c r="I26" i="3"/>
  <c r="H26" i="3"/>
  <c r="I25" i="3"/>
  <c r="H25" i="3"/>
  <c r="C24" i="3"/>
  <c r="H23" i="3"/>
  <c r="I23" i="3"/>
  <c r="I22" i="3"/>
  <c r="H22" i="3"/>
  <c r="I20" i="3"/>
  <c r="H20" i="3"/>
  <c r="C19" i="3"/>
  <c r="E28" i="3"/>
  <c r="E29" i="3"/>
  <c r="D28" i="3"/>
  <c r="D29" i="3"/>
  <c r="C18" i="3"/>
  <c r="B28" i="3"/>
  <c r="B29" i="3"/>
  <c r="I12" i="3"/>
  <c r="H12" i="3"/>
  <c r="I11" i="3"/>
  <c r="H11" i="3"/>
  <c r="I10" i="3"/>
  <c r="H10" i="3"/>
  <c r="H9" i="3"/>
  <c r="I9" i="3"/>
  <c r="I8" i="3"/>
  <c r="C8" i="3"/>
  <c r="H8" i="3" s="1"/>
  <c r="I7" i="3"/>
  <c r="H7" i="3"/>
  <c r="C6" i="3"/>
  <c r="H6" i="3"/>
  <c r="I6" i="3"/>
  <c r="I4" i="3"/>
  <c r="H4" i="3"/>
  <c r="D13" i="3"/>
  <c r="I3" i="3"/>
  <c r="H3" i="3"/>
  <c r="H48" i="3" l="1"/>
  <c r="I48" i="3"/>
  <c r="C58" i="3"/>
  <c r="C59" i="3"/>
  <c r="H43" i="3"/>
  <c r="C44" i="3"/>
  <c r="C43" i="3"/>
  <c r="H28" i="3"/>
  <c r="I28" i="3"/>
  <c r="C28" i="3"/>
  <c r="J28" i="3"/>
  <c r="C29" i="3"/>
  <c r="C13" i="3"/>
  <c r="J13" i="3" s="1"/>
  <c r="C14" i="3"/>
  <c r="I13" i="3"/>
  <c r="H13" i="3"/>
  <c r="I6" i="5"/>
  <c r="H6" i="5"/>
  <c r="H56" i="3"/>
  <c r="I56" i="3"/>
  <c r="H34" i="3"/>
  <c r="I34" i="3"/>
  <c r="I33" i="3"/>
  <c r="H33" i="3"/>
  <c r="I24" i="3"/>
  <c r="H24" i="3"/>
  <c r="I19" i="3"/>
  <c r="H19" i="3"/>
  <c r="I18" i="3"/>
  <c r="H18" i="3"/>
  <c r="I58" i="3" l="1"/>
  <c r="H58" i="3"/>
  <c r="J58" i="3"/>
  <c r="I14" i="3"/>
  <c r="H14" i="3"/>
  <c r="H59" i="3"/>
  <c r="I59" i="3"/>
  <c r="H44" i="3"/>
  <c r="I44" i="3"/>
  <c r="J43" i="3"/>
  <c r="I43" i="3"/>
  <c r="H29" i="3"/>
  <c r="I29" i="3"/>
</calcChain>
</file>

<file path=xl/sharedStrings.xml><?xml version="1.0" encoding="utf-8"?>
<sst xmlns="http://schemas.openxmlformats.org/spreadsheetml/2006/main" count="2034" uniqueCount="547">
  <si>
    <t>Alignment of the extracted results for the two Hassan, Zerva &amp; Aulet 2024 records (same paper, extracted twice)</t>
  </si>
  <si>
    <t>A = _Hassan et al.-2024-A Model for Brand Personality Wo.txt</t>
  </si>
  <si>
    <t>B = _Hassan et al.-2024-Brand Personality Word Embedding.txt</t>
  </si>
  <si>
    <t>Source: complete_dataset.xlsx, sheets Gemini_2_Flash and Gemini_2_5_pro. Field order and themes follow schema.txt / instructions.txt (Blocks 1-9).</t>
  </si>
  <si>
    <t>Status per field (comparison of A with B within one model):</t>
  </si>
  <si>
    <t xml:space="preserve">  Identical = same items after lower-casing, removing punctuation and the "(n)" occurrence counts</t>
  </si>
  <si>
    <t xml:space="preserve">  Similar = similarity of 0.5 or higher;  Low = similarity below 0.5</t>
  </si>
  <si>
    <t xml:space="preserve">  Only A / Only B = filled for one record, empty for the other (similarity 0)</t>
  </si>
  <si>
    <t xml:space="preserve">  Empty in both = not filled for either record (not counted as a filled field)</t>
  </si>
  <si>
    <t xml:space="preserve">  Not in sheet = column does not exist in that model sheet</t>
  </si>
  <si>
    <t>Similarity (0-1) is lexical: the highest of item-set overlap, word-set overlap and character-sequence ratio. It understates agreement for paraphrased free text.</t>
  </si>
  <si>
    <t>"What differs" notes were written by reading the two values side by side; for long free-text fields only the first few hundred characters were read.</t>
  </si>
  <si>
    <t>Assumptions:</t>
  </si>
  <si>
    <t xml:space="preserve">  The threshold of 0.5 between Similar and Low is a choice made for this analysis, not a standard.</t>
  </si>
  <si>
    <t xml:space="preserve">  Schema field pdf_filename is left out (the two file names differ by definition); is_referenced_by_count and the two unnamed trailing columns are left out as they are not extractions.</t>
  </si>
  <si>
    <t xml:space="preserve">  platform_twitter, modality_video and modality_engagement are not in the schema; they are listed under "Not in schema" and excluded from the "All themes (schema fields)" row.</t>
  </si>
  <si>
    <t>Columns N-R of "Per field" compare the two models. "More consistent model" says which model has the higher A-vs-B similarity for that field (only where both fill it). "Flash vs Pro on A / on B" compares what Flash and Pro extracted from the same record, with the same statuses and score; Only Flash / Only Pro = filled by one model only; these fields get no similarity score and are excluded from the Flash-vs-Pro rates and means on "Per theme", which cover only fields filled by both models.</t>
  </si>
  <si>
    <t>The "Per theme" sheet is calculated with formulas from the "Per field" sheet.</t>
  </si>
  <si>
    <t>"Other datasets - summary" and "Other datasets - fields" apply the same A-vs-B comparison to Summary_Insights.xlsx, UNESCO_to_Map.xlsx (Sheet1 and To Map) and Binary_encodings.csv, with fields in their original column order. In the binary encodings a 0 counts as a filled value. File-name and key columns are left out.</t>
  </si>
  <si>
    <t>#</t>
  </si>
  <si>
    <t>Theme</t>
  </si>
  <si>
    <t>Field</t>
  </si>
  <si>
    <t>Flash: status</t>
  </si>
  <si>
    <t>Flash: similarity</t>
  </si>
  <si>
    <t>Flash: what differs</t>
  </si>
  <si>
    <t>Flash: value A</t>
  </si>
  <si>
    <t>Flash: value B</t>
  </si>
  <si>
    <t>Pro: status</t>
  </si>
  <si>
    <t>Pro: similarity</t>
  </si>
  <si>
    <t>Pro: what differs</t>
  </si>
  <si>
    <t>Pro: value A</t>
  </si>
  <si>
    <t>Pro: value B</t>
  </si>
  <si>
    <t>More consistent model (A vs B)</t>
  </si>
  <si>
    <t>Flash vs Pro on A: status</t>
  </si>
  <si>
    <t>Flash vs Pro on A: similarity</t>
  </si>
  <si>
    <t>Flash vs Pro on B: status</t>
  </si>
  <si>
    <t>Flash vs Pro on B: similarity</t>
  </si>
  <si>
    <t>1 Metadata</t>
  </si>
  <si>
    <t>title</t>
  </si>
  <si>
    <t>Similar</t>
  </si>
  <si>
    <t>A has the full title, B only "Brand Personality Word Embedding"</t>
  </si>
  <si>
    <t>A Model for Brand Personality Word Embedding: The Case of UNESCO World Heritage Sites</t>
  </si>
  <si>
    <t>Brand Personality Word Embedding</t>
  </si>
  <si>
    <t>Empty in both</t>
  </si>
  <si>
    <t>Flash only fills</t>
  </si>
  <si>
    <t>Only Flash</t>
  </si>
  <si>
    <t>authors</t>
  </si>
  <si>
    <t>Identical</t>
  </si>
  <si>
    <t>Mohamed Abdalla Elsayed Hassan; Konstantina Zerva; Silvia Aulet</t>
  </si>
  <si>
    <t>affiliations</t>
  </si>
  <si>
    <t>Only B</t>
  </si>
  <si>
    <t>B: "University of Girona"</t>
  </si>
  <si>
    <t>University of Girona</t>
  </si>
  <si>
    <t>year</t>
  </si>
  <si>
    <t>2024</t>
  </si>
  <si>
    <t>publication_type</t>
  </si>
  <si>
    <t>journal article</t>
  </si>
  <si>
    <t>venue_name</t>
  </si>
  <si>
    <t>Only A</t>
  </si>
  <si>
    <t>A: "Tourism Geographies" (looks wrong for this DOI)</t>
  </si>
  <si>
    <t>Tourism Geographies</t>
  </si>
  <si>
    <t>publisher</t>
  </si>
  <si>
    <t>doi</t>
  </si>
  <si>
    <t>https://doi.org/10.1177/00472875221147142</t>
  </si>
  <si>
    <t>url</t>
  </si>
  <si>
    <t>language</t>
  </si>
  <si>
    <t>page_count</t>
  </si>
  <si>
    <t>2 Research context</t>
  </si>
  <si>
    <t>cultural_heritage_domain</t>
  </si>
  <si>
    <t>Both have "World Heritage Site"; the second term differs</t>
  </si>
  <si>
    <t>World Heritage Site (WHS) (5); World Cultural and Natural Heritage (1)</t>
  </si>
  <si>
    <t>World Heritage Site (WHS) (7); UNESCO World Heritage Sites (WHSs) (2)</t>
  </si>
  <si>
    <t>heritage_type</t>
  </si>
  <si>
    <t>cultural (6); natural (2); mixed (1)</t>
  </si>
  <si>
    <t>cultural_entities_analyzed</t>
  </si>
  <si>
    <t>Low</t>
  </si>
  <si>
    <t>A lists six entities including the Seville sites; B only "World Heritage Sites"</t>
  </si>
  <si>
    <t>World Heritage Sites (WHSs) (10); tourism destinations (3); tourism attractions (4); cathedral (1); Real Alcázar (1); Archivo General de Indias in Seville (1)</t>
  </si>
  <si>
    <t>World Heritage Sites (WHSs) (3)</t>
  </si>
  <si>
    <t>heritage_terms_detected</t>
  </si>
  <si>
    <t>Largely the same terms; A's list is longer</t>
  </si>
  <si>
    <t>brand personality (BP) (19); UNESCO (20); outstanding universal values (OUVs) (2); authenticity (4); integrity (4); protection (6); management (6); World Heritage (WH) (23); 1972 Convention Concerning the Protection of the World Cultural and Natural Heritage (1); WHS list (3); WHS status (2); WHS brand (2); WHS personality (5); WHS personality categories (6); WHS personality items (3); WH personality categories (10); WH personality distribution (2); WH cultural sites (1); WH concept (2); WH Convention (1); WH meanings (2); WH status (1)</t>
  </si>
  <si>
    <t>world heritage (2); OUVs (1); outstanding universal values (1); 1972 Convention Concerning the Protection of the World Cultural and Natural Heritage (1); Authenticity (4); Integrity (5); Protection (6); Management (6); UNESCO (16); WHS (29)</t>
  </si>
  <si>
    <t>heritage_values_used</t>
  </si>
  <si>
    <t>A: "valuable", "universal" with quotes</t>
  </si>
  <si>
    <t>valuable (2) Items such as “valuable,” and “significant” refer to how valuable WHSs are—this category also includes integrity items such as “integral” and “complete.”; universal (1) This refers to the “continental” and “universal” WHS identities and types, and is present extensively in the Brief Synthesis, and Protection and Management text files.; outstanding (2) In the Criteria Description, Description and Brief Synthesis text files, these items refer to the outstanding qualities and uniqueness of WHSs, such as “outstanding” and “extraordinary.”; economic (1) The perception of authenticity and integrity adds economic value and protection (Kim et al., 2018; Nian et al., 2019).</t>
  </si>
  <si>
    <t>Shared: economic, social, universal; A has six more terms, B adds "outstanding"</t>
  </si>
  <si>
    <t>economic (1); management (4); politic (1); scientific (1); social (4); spiritual (1); universal (3); use (10); value (6)</t>
  </si>
  <si>
    <t>outstanding (5); universal (5); economic (2); social (1)</t>
  </si>
  <si>
    <t>Pro</t>
  </si>
  <si>
    <t>Only Pro</t>
  </si>
  <si>
    <t>heritage_values_discussed</t>
  </si>
  <si>
    <t>Same first value (Social: Emotional, collective) in a different format (text vs dictionary)</t>
  </si>
  <si>
    <t>Social (Emotional (collective)) – The study explores the intangible meanings of World Heritage Sites (WHSs) and their potential influence on destination preferences, suggesting a connection to cultural identity and a sense of place attachment.; Aesthetical (Artistic) – The research identifies personality categories of WHSs, including 'Attractiveness,' which relates to the aesthetic qualities and originality of these sites, reflecting artistic value.; Historic (Symbolic) – The study mentions that countries try to include as many sites as possible on the WHS list, as this is seen as increasing their international pride and recognition, indicating a symbolic value related to historical significance.; Scientific (Conceptual) – The study uses a text-mining approach to extract WHS items and classify them based on their contextual similarity, employing natural language processing (NLP) and pre-trained language models, which aligns with the conceptual aspect of scientific values.</t>
  </si>
  <si>
    <t>{'value': 'Social: Emotional (collective)', 'reasoning': 'The study explores the intangible meanings of World Heritage Sites and their potential influence on destination preferences, suggesting a focus on cultural identity and sense of place attachment.'}; {'value': 'Economic: Entertainment', 'reasoning': 'The paper discusses the promotion of World Heritage Sites as tourism destinations and their role in attracting visitors, indicating a consideration of the entertainment value of these sites.'}; {'value': 'Political: Symbolic', 'reasoning': 'The text mentions that countries try to include as many sites as possible on the WHS list, since this is seen as increasing their international pride and recognition, indicating a symbolic value.'}; {'value': 'Historic: Historic-Artistic', 'reasoning': 'The study focuses on identifying personality categories of World Heritage Sites, which inherently involves considering their historical and artistic significance as rare or unique examples.'}; {'value': 'Aesthetical: Artistic', 'reasoning': 'The paper discusses the attractiveness of World Heritage Sites and their authenticity, suggesting a consideration of their artistic value as original products of creativity and imagination.'}; {'value': 'Scientific: Workmanship', 'reasoning': 'The study mentions the importance of protecting and preserving World Heritage Sites, implying a consideration of the workmanship involved in their creation and maintenance.'}; {'value': 'Age: Existential', 'reasoning': 'The paper explores the intangible associations with World Heritage status, which can represent memory and the lives of past generations.'}</t>
  </si>
  <si>
    <t>A: Historic values / Historic-Artistic; B: Social values / Emotional (collective)</t>
  </si>
  <si>
    <t>{'primary_value': 'HISTORIC VALUES', 'secondary_value': 'Historic-Artistic', 'reasoning': "The paper focuses on 'outstanding universal values (OUVs)' and the 'uniqueness of WHSs', which aligns with the concept of being a rare or unique example of historical or artistic movements."}; {'primary_value': 'AESTHETICAL VALUES', 'secondary_value': 'Evidential', 'reasoning': "The discussion of 'authenticity' and 'originality' as perceived by visitors and defined by UNESCO relates to the site being an authentic example from a specific part of art or architectural history."}; {'primary_value': 'POLITICAL VALUES', 'secondary_value': 'Management', 'reasoning': "The paper explicitly analyzes UNESCO concepts of 'Protection and Management' and discusses how these are incorporated into the 'Responsibility' personality category, reflecting political strategies and policies for heritage."}; {'primary_value': 'ECONOMIC VALUES', 'secondary_value': 'Entertainment', 'reasoning': "The paper discusses WHSs as 'tourism destinations' and their role in attracting visitors, which directly relates to their function in the contemporary tourism market."}; {'primary_value': 'SOCIAL VALUES', 'secondary_value': 'Emotional (collective)', 'reasoning': "The paper mentions that countries seek WHS listing to increase 'international pride and recognition', which reflects the collective emotional value and cultural identity associated with these sites."}</t>
  </si>
  <si>
    <t>{'primary_value': 'SOCIAL VALUES', 'secondary_value': 'Emotional (collective)', 'thinking_process': 'The paper discusses how WHS listing increases "international pride and recognition" and links brand attributes to cultural values, which directly relates to collective emotional values like cultural identity and communal pride.'}; {'primary_value': 'ECONOMIC VALUES', 'secondary_value': 'Entertainment', 'thinking_process': 'The paper frames WHSs as major tourism attractions, discussing their role in attracting visitors, tourism development, and marketing strategies, which directly aligns with the definition of entertainment value in the contemporary tourism market.'}; {'primary_value': 'ECONOMIC VALUES', 'secondary_value': 'Use', 'thinking_process': 'The paper\'s focus on WHSs as active "tourism destinations" that attract visitors and contribute to tourism development clearly points to the contemporary function and utility of these sites, aligning with the definition of \'Use\' value.'}; {'primary_value': 'POLITICAL VALUES', 'secondary_value': 'Management', 'thinking_process': 'The paper details the role of UNESCO, the 1972 Convention, and national strategies for listing sites to gain recognition. It also analyzes "Protection and Management" as a core concept, fitting the definition of management value.'}; {'primary_value': 'POLITICAL VALUES', 'secondary_value': 'Symbolic', 'thinking_process': 'The paper states that countries seek WHS listing to increase "international pride and recognition," which serves as an emblematic expression of national prestige and cultural authority, aligning with the definition of symbolic political value.'}; {'primary_value': 'AESTHETICAL VALUES', 'secondary_value': 'Artistic', 'thinking_process': 'The derived "Attractiveness" personality cluster contains words like "artistic," "original," "picturesque," and "beautiful," directly reflecting the creative and imaginative qualities that define the artistic aesthetical value.'}; {'primary_value': 'AGE VALUES', 'secondary_value': 'Existential', 'thinking_process': 'The concept of World Heritage inherently represents the memory and lives of past generations, and the study identifies "ancestral" as a personality trait, directly aligning with the definition of existential age value.'}</t>
  </si>
  <si>
    <t>Flash</t>
  </si>
  <si>
    <t>heritage_management_actions</t>
  </si>
  <si>
    <t>A adds "heritage conservation"</t>
  </si>
  <si>
    <t>Protection (3); Management (6); heritage Conservation (1)</t>
  </si>
  <si>
    <t>Protection (2); Management (2)</t>
  </si>
  <si>
    <t>case_study_locations</t>
  </si>
  <si>
    <t>A adds "all 1,121 UNESCO World Heritage Sites"</t>
  </si>
  <si>
    <t>all 1,121 UNESCO World Heritage Sites (WHSs); the cathedral, the Real Alcázar and the Archivo General de Indias in Seville</t>
  </si>
  <si>
    <t>the cathedral, the Real Alcázar and the Archivo General de Indias in Seville</t>
  </si>
  <si>
    <t>Pro only fills</t>
  </si>
  <si>
    <t>geographical_regions</t>
  </si>
  <si>
    <t>Same countries; A has "Asia and Pacific region", B splits it into "Asia" and "Pacific"</t>
  </si>
  <si>
    <t>China (1); India (1); Japan (1); France (1); Germany (1); Italy (1); Spain (1); Asia and Pacific region (2); Europe (2); Iran (1); Catalunya (1)</t>
  </si>
  <si>
    <t>Asia (2); Pacific (2); Europe (3); China (2); India (1); Japan (1); France (1); Germany (1); Italy (1); Spain (1); Iran (1); Catalunya (1)</t>
  </si>
  <si>
    <t>B adds six extra places (Macau, Nepal, West Bengal, Bangladesh and others)</t>
  </si>
  <si>
    <t>China; India; Japan; Asia and Pacific region; Europe; France; Germany; Italy; Spain; Iran</t>
  </si>
  <si>
    <t>China; India; Japan; France; Germany; Italy; Spain; Asia and Pacific region; Europe; Iran; German cultural context; Croatian brands; Macau; Nepal; West Bengal, India; Bangladesh</t>
  </si>
  <si>
    <t>historical_time_period</t>
  </si>
  <si>
    <t>specific_event_or_incident</t>
  </si>
  <si>
    <t>A: "Covid-19 pandemic"</t>
  </si>
  <si>
    <t>Covid-19 pandemic (1)</t>
  </si>
  <si>
    <t>A: the 1972 World Heritage Convention</t>
  </si>
  <si>
    <t>1972 Convention Concerning the Protection of the World Cultural and Natural Heritage</t>
  </si>
  <si>
    <t>Equal</t>
  </si>
  <si>
    <t>research_problem_statement</t>
  </si>
  <si>
    <t>Despite having received considerable academic attention, existing brand personality (BP) scales are difficult to generalize and likely need further development.</t>
  </si>
  <si>
    <t>research_objectives</t>
  </si>
  <si>
    <t>Same opening sentence, then the two continue differently</t>
  </si>
  <si>
    <t>The aim of this study was to design a novel method for constructing context driven- BP categories through the use of a multi-disciplinary approach and advances in personality studies in psychology and natural language processing. The study has two aims. The first aim is to define the mechanisms by which WHS personality categories are constructed, given the fact that brands have cultural meanings and require a way of creating their personality categories. The second aim is to show how the personality categories of WHSs are perceived differently by experts and visitors to WHSs, since it has been suggested that personality categories may be perceived differently by those who communicate the symbolic meaning of brands and the receivers of those messages (Ranfagni et al., 2016).</t>
  </si>
  <si>
    <t>The aim of this study was to design a novel method for constructing context driven- BP categories through the use of a multi-disciplinary approach and advances in personality studies in psychology and natural language processing. Based on a textual analysis that relies on devising hypotheses of psycholexical representation and the distributed representation of words, the aforementioned method was employed to explore World Heritage Site (WHS) personalities using information from all 1,121 UNESCO World Heritage Sites (WHSs) and 9,920 user-generated reviews on Trip Advisor.</t>
  </si>
  <si>
    <t>3 Social media data</t>
  </si>
  <si>
    <t>platforms_detected</t>
  </si>
  <si>
    <t>Both Tripadvisor; A also lists the spelling "Trip Advisor"</t>
  </si>
  <si>
    <t>Trip Advisor (2); Tripadvisor (11)</t>
  </si>
  <si>
    <t>Tripadvisor (8)</t>
  </si>
  <si>
    <t>data_modalities_detected</t>
  </si>
  <si>
    <t>A: four text-related labels; B: just "text"</t>
  </si>
  <si>
    <t>text (1); digital text data (2); digital visitor reviews (2); digital data (1)</t>
  </si>
  <si>
    <t>text (10)</t>
  </si>
  <si>
    <t>A adds "user-generated reviews"</t>
  </si>
  <si>
    <t>text; user-generated reviews</t>
  </si>
  <si>
    <t>text</t>
  </si>
  <si>
    <t>geolocation_data_used</t>
  </si>
  <si>
    <t>spatial_data_characteristics</t>
  </si>
  <si>
    <t>temporal_data_characteristics</t>
  </si>
  <si>
    <t>engagement_metrics_detected</t>
  </si>
  <si>
    <t>metadata_fields_detected</t>
  </si>
  <si>
    <t>dataset_total_posts</t>
  </si>
  <si>
    <t>Same number (9,920); A adds "individual reviews"</t>
  </si>
  <si>
    <t>9,920 individual reviews (1)</t>
  </si>
  <si>
    <t>9,920</t>
  </si>
  <si>
    <t>dataset_total_users</t>
  </si>
  <si>
    <t>dataset_text_posts</t>
  </si>
  <si>
    <t>"9,920 Tripadvisor reviews" vs "9,920 individual reviews"</t>
  </si>
  <si>
    <t>9,920 Tripadvisor reviews (1)</t>
  </si>
  <si>
    <t>9,920 individual reviews</t>
  </si>
  <si>
    <t>A: "9,920"; B: a full sentence with both corpora</t>
  </si>
  <si>
    <t>9,920 individual reviews from Tripadvisor and texts describing 1,121 WHSs from UNESCO</t>
  </si>
  <si>
    <t>dataset_images</t>
  </si>
  <si>
    <t>dataset_videos</t>
  </si>
  <si>
    <t>dataset_3d_objects</t>
  </si>
  <si>
    <t>dataset_geotagged_entries</t>
  </si>
  <si>
    <t>dataset_time_coverage</t>
  </si>
  <si>
    <t>accessed June 28, 2021 (2)</t>
  </si>
  <si>
    <t>accessed June 28, 2021</t>
  </si>
  <si>
    <t>Same dates, reworded</t>
  </si>
  <si>
    <t>Data extraction in May 2020; website access date June 28, 2021.</t>
  </si>
  <si>
    <t>Data extracted in May 2020 and accessed on June 28, 2021.</t>
  </si>
  <si>
    <t>dataset_spatial_coverage</t>
  </si>
  <si>
    <t>A: "1,121 UNESCO World Heritage Sites"; B: "seven countries"</t>
  </si>
  <si>
    <t>1,121 UNESCO World Heritage Sites (WHSs) (1)</t>
  </si>
  <si>
    <t>seven countries</t>
  </si>
  <si>
    <t>Same content, order reversed</t>
  </si>
  <si>
    <t>Tripadvisor reviews for 261 cultural WHSs in seven countries (China, India, Japan, France, Germany, Italy, and Spain). UNESCO texts for all 1,121 WHSs.</t>
  </si>
  <si>
    <t>UNESCO corpus: all 1,121 WHSs. Tripadvisor corpus: 261 cultural WHSs in seven countries (China, India, Japan, France, Germany, Italy, and Spain).</t>
  </si>
  <si>
    <t>collection_method</t>
  </si>
  <si>
    <t>A: full sentence on both corpora; B: "extracted"</t>
  </si>
  <si>
    <t>texts describing 1,121 WHSs from the UNESCO WH Center website, (hereafter, the UNESCO corpus), and 9,920 Tripadvisor reviews of WHSs in seven countries (hereafter, the Tripadvisor corpus) were extracted</t>
  </si>
  <si>
    <t>extracted</t>
  </si>
  <si>
    <t>api_or_tool_used</t>
  </si>
  <si>
    <t>B: "keyword search engine"</t>
  </si>
  <si>
    <t>keyword search engine</t>
  </si>
  <si>
    <t>sampling_strategy</t>
  </si>
  <si>
    <t>A: English-only reviews; B: reviews collected from seven countries</t>
  </si>
  <si>
    <t>The sample was limited to reviews written in English, although visitors were from many countries, reducing segment bias.</t>
  </si>
  <si>
    <t>reviews specific to WHSs were therefore collected from seven countries, since the main objective was to collect as many reviews relevant to WH personality as possible.</t>
  </si>
  <si>
    <t>data_cleaning_preprocessing</t>
  </si>
  <si>
    <t>A: full sentence; B: "text-mining preprocessing"</t>
  </si>
  <si>
    <t>To reduce the complexity of the texts and to conduct further analysis, text-mining preprocessing—an essential tool in text analysis (Denny &amp; Spirling, 2018)—was employed to reduce the complexity of the data</t>
  </si>
  <si>
    <t>text-mining preprocessing</t>
  </si>
  <si>
    <t>filtering_criteria</t>
  </si>
  <si>
    <t>English language filter (1)</t>
  </si>
  <si>
    <t>English language filter</t>
  </si>
  <si>
    <t>annotation_method</t>
  </si>
  <si>
    <t>annotators</t>
  </si>
  <si>
    <t>label_schema</t>
  </si>
  <si>
    <t>inter_annotator_agreement</t>
  </si>
  <si>
    <t>4 AI methodology</t>
  </si>
  <si>
    <t>task_types</t>
  </si>
  <si>
    <t>B adds "categorization"</t>
  </si>
  <si>
    <t>text mining (5); machine learning (2); topic modeling (3); sentimental analysis (2); document classification (1); clustering (4)</t>
  </si>
  <si>
    <t>text mining (4); machine learning (3); topic modeling (3); document classification (1); sentimental analysis (2); clustering (6); categorization (2)</t>
  </si>
  <si>
    <t>A adds "topic modeling" and "document classification"</t>
  </si>
  <si>
    <t>text mining; unsupervised learning; classification; topic modeling; document classification; clustering</t>
  </si>
  <si>
    <t>text mining; unsupervised learning; classification; clustering</t>
  </si>
  <si>
    <t>model_families</t>
  </si>
  <si>
    <t>A adds "K-means methods"</t>
  </si>
  <si>
    <t>neural network language models (1); pre-trained language models (2); K-means methods (2)</t>
  </si>
  <si>
    <t>pre-trained language models (4); neural network language models (1)</t>
  </si>
  <si>
    <t>A adds "NLP" and "K-means clustering"; B adds "Embedding-based models"</t>
  </si>
  <si>
    <t>natural language processing (NLP); pre-trained language models; word embedding; neural network language models; K-means clustering</t>
  </si>
  <si>
    <t>pre-trained language models; word embedding; neural network language models; Embedding-based models</t>
  </si>
  <si>
    <t>specific_models_mentioned</t>
  </si>
  <si>
    <t>Word2Vec (1); Glo Ve (1); Fasttext (6); BERT (1)</t>
  </si>
  <si>
    <t>A adds "Fasttext crawl-300d-2M-subword"</t>
  </si>
  <si>
    <t>BERT; Word2Vec; GloVe; Fasttext; Fasttext crawl-300d-2M-subword</t>
  </si>
  <si>
    <t>Word2Vec; GloVe; Fasttext; BERT</t>
  </si>
  <si>
    <t>pretrained_or_finetuned</t>
  </si>
  <si>
    <t>pre-trained (3)</t>
  </si>
  <si>
    <t>embeddings_or_representations</t>
  </si>
  <si>
    <t>word embedding (6); vectors (5)</t>
  </si>
  <si>
    <t>word embedding (7); vectors (5)</t>
  </si>
  <si>
    <t>feature_extraction_methods</t>
  </si>
  <si>
    <t>input_features_used</t>
  </si>
  <si>
    <t>text (1)</t>
  </si>
  <si>
    <t>multimodal_fusion_method</t>
  </si>
  <si>
    <t>train_val_test_split</t>
  </si>
  <si>
    <t>loss_functions</t>
  </si>
  <si>
    <t>optimizer</t>
  </si>
  <si>
    <t>learning_rate</t>
  </si>
  <si>
    <t>batch_size</t>
  </si>
  <si>
    <t>epochs</t>
  </si>
  <si>
    <t>regularization</t>
  </si>
  <si>
    <t>augmentation_methods</t>
  </si>
  <si>
    <t>hyperparameters</t>
  </si>
  <si>
    <t>baseline_models</t>
  </si>
  <si>
    <t>hardware</t>
  </si>
  <si>
    <t>gpu_models</t>
  </si>
  <si>
    <t>num_gpus</t>
  </si>
  <si>
    <t>memory</t>
  </si>
  <si>
    <t>runtime</t>
  </si>
  <si>
    <t>model_architecture_details</t>
  </si>
  <si>
    <t>training_procedure_summary</t>
  </si>
  <si>
    <t>This article presents a new technique for identifying the personality categories of WHSs in three phases: (1) item generation; (2) item refinement; and (3) word embedding and clustering.</t>
  </si>
  <si>
    <t>5 Graph/network</t>
  </si>
  <si>
    <t>graph_constructed</t>
  </si>
  <si>
    <t>no</t>
  </si>
  <si>
    <t>graph_type</t>
  </si>
  <si>
    <t>node_definition</t>
  </si>
  <si>
    <t>edge_definition</t>
  </si>
  <si>
    <t>number_of_nodes</t>
  </si>
  <si>
    <t>number_of_edges</t>
  </si>
  <si>
    <t>graph_properties_reported</t>
  </si>
  <si>
    <t>graph_construction_method</t>
  </si>
  <si>
    <t>graph_algorithms_or_models_used</t>
  </si>
  <si>
    <t>graph_visualization_methods</t>
  </si>
  <si>
    <t>graph_purpose_in_study</t>
  </si>
  <si>
    <t>6 Evaluation</t>
  </si>
  <si>
    <t>evaluation_metrics_used</t>
  </si>
  <si>
    <t>cosine similarity (3); Sum of Squared Errors (SSE) (2); ANOVA (1)</t>
  </si>
  <si>
    <t>cosine similarity (4); Sum of Squared Errors (SSE) (2); ANOVA (1)</t>
  </si>
  <si>
    <t>overall_results</t>
  </si>
  <si>
    <t>per_class_results</t>
  </si>
  <si>
    <t>per_model_results</t>
  </si>
  <si>
    <t>statistical_tests</t>
  </si>
  <si>
    <t>p &lt; .005 (1); p &gt; .05 (1)</t>
  </si>
  <si>
    <t>qualitative_summary</t>
  </si>
  <si>
    <t>Same first sentence, then reworded</t>
  </si>
  <si>
    <t>The study identified a 192-item WHS personality dictionary organized into five clusters: Exceptionality; Attractiveness; Identification; Responsibility; and Prominence. It found that UNESCO experts strongly associate WHSs with Attractiveness and Identification, while Tripadvisor visitors attributed Exceptionality to 55.59% of WHSs, followed by Attractiveness (21.84%).</t>
  </si>
  <si>
    <t>The study identified a 192-item WHS personality dictionary organized into five clusters: Exceptionality; Attractiveness; Identification; Responsibility; and Prominence. The results show that UNESCO strongly associates WHSs with the attributes of Attractiveness and Identification, while visitors on Tripadvisor strongly associate them with Exceptionality.</t>
  </si>
  <si>
    <t>example_outputs</t>
  </si>
  <si>
    <t>Same clusters; A lists example words, B quotes definitions</t>
  </si>
  <si>
    <t>["Responsibility cluster items: 'protected', 'preserved', 'concerned', 'responsible', 'controlled'.", "Identification cluster items: 'continental', 'industrial', 'ancestral', 'imperial', 'royal'.", "Exceptionality cluster items: 'spectacular', 'marvelous', 'superb', 'amazing', 'fascinating'.", "Prominence cluster items: 'brilliant', 'real', 'critical', 'worthy', 'vital'.", "Attractiveness cluster items: 'authentic', 'rich', 'romantic', 'harmonious', 'scenic'."]</t>
  </si>
  <si>
    <t>["Responsibility: This includes items referring to the importance of protecting and preserving WHSs—'protected' and 'preserved'—and items related to the accessibility of WHSs—'accessible' and 'restricted.'", "Identification: This refers to the 'continental' and 'universal' WHS identities and types.", "Exceptionality: In the Criteria Description, Description and Brief Synthesis text files, these items refer to the outstanding qualities and uniqueness of WHSs, such as 'outstanding' and 'extraordinary.'", "Prominence: Items such as 'valuable,' and 'significant' refer to how valuable WHSs are—this category also includes integrity items such as 'integral' and 'complete.'", "Attractiveness: The items pertaining to attractiveness, such as 'original' and 'picturesque,' for example, can also express the UNESCO concept of Authenticity, which describes WHSs’ authenticity and originality."]</t>
  </si>
  <si>
    <t>qualitative_comparisons</t>
  </si>
  <si>
    <t>Same two comparisons, reworded</t>
  </si>
  <si>
    <t>["A comparison of pre-trained language models found that 'Fasttext-crawl-300d-2M-subword' provided the best similarity scores for the 192 items.", "A comparison between UNESCO experts and Tripadvisor visitors showed different perceptions of WHSs: 'Whereas visitors largely attributed Exceptionality and Attractiveness to WHSs, the experts described them using the items Identification and Attractiveness, followed by Exceptionality.'"]</t>
  </si>
  <si>
    <t>['Whereas visitors largely attributed Exceptionality and Attractiveness to WHSs, the experts described them using the items Identification and Attractiveness, followed by Exceptionality.', 'Fasttext crawl-300d-2M-subword, which is pre-trained on two million words (Bojanowski et al., 2017), provided the best similarity scores for 192 items.']</t>
  </si>
  <si>
    <t>error_summary</t>
  </si>
  <si>
    <t>A describes the item-refinement step</t>
  </si>
  <si>
    <t>The paper describes a process of item refinement rather than a formal error analysis. This involved evaluating the appropriateness of items and removing words that did not contribute to the meaning of the brand, such as those signifying colors, shapes, directions, or locations, or words with ambiguous meanings.</t>
  </si>
  <si>
    <t>error_examples</t>
  </si>
  <si>
    <t>A lists removed words</t>
  </si>
  <si>
    <t>["Items that were removed included words such as 'closed' and 'open,' which may refer to a specific WH site’s opening and closing times, words like 'sound,' which have no clear meaning, and word forms like 'ranging' or 'following.'", "Words that referred to an individual WHS or an element within a WHS, such as a specific design, such as 'orthodox,' or shape, such as 'circular' were removed."]</t>
  </si>
  <si>
    <t>error_causes</t>
  </si>
  <si>
    <t>A lists two causes</t>
  </si>
  <si>
    <t>["Inclusion of irrelevant keywords from the 'Metaphorical and Doubtful' category of the Allport dictionary.", 'Words attributed to specific elements at a particular WH site and not the overall WH brand.']</t>
  </si>
  <si>
    <t>ablation_studies</t>
  </si>
  <si>
    <t>cross_validation_strategy</t>
  </si>
  <si>
    <t>baseline_models_eval</t>
  </si>
  <si>
    <t>proposed_vs_baseline</t>
  </si>
  <si>
    <t>visualization_types_used</t>
  </si>
  <si>
    <t>confusion matrix (3)</t>
  </si>
  <si>
    <t>7 Findings</t>
  </si>
  <si>
    <t>cultural_patterns_identified</t>
  </si>
  <si>
    <t>Same five clusters, reworded</t>
  </si>
  <si>
    <t>['Five WHS personality clusters were identified: Responsibility, Identification, Exceptionality, Prominence, and Attractiveness.']</t>
  </si>
  <si>
    <t>['The study identified five brand personality clusters for World Heritage Sites: Exceptionality, Attractiveness, Identification, Responsibility, and Prominence.']</t>
  </si>
  <si>
    <t>social_media_behavior_insights</t>
  </si>
  <si>
    <t>Same finding; A gives percentages, B does not</t>
  </si>
  <si>
    <t>["Visitors on Tripadvisor most frequently use terms related to 'Exceptionality' (55.59%) and 'Attractiveness' (21.84%) when describing their experiences at WHSs.", "Visitors rarely expressed terms related to 'Responsibility' (9.24%), 'Identification' (6.9%), and 'Prominence' (6.42%) in their reviews."]</t>
  </si>
  <si>
    <t>["Visitors on Tripadvisor, when reviewing WHSs, focus heavily on attributes of 'Exceptionality' (e.g., outstanding, unique) and 'Attractiveness' (e.g., original, authentic, beautiful), while paying less attention to concepts like 'Responsibility' (protection, preservation) or 'Identification' (universal identity)."]</t>
  </si>
  <si>
    <t>heritage_significance_findings</t>
  </si>
  <si>
    <t>Same first finding (visitors value the outstanding universal values), reworded</t>
  </si>
  <si>
    <t>["Visitors value the Outstanding Universal Values (OUVs) of WHSs, reflected in the high frequency of the 'Exceptionality' category.", 'Visitors appreciate items associated with Authenticity and Criteria Description concepts, which are also associated with the OUVS of WHSs in reviews.', "UNESCO experts present a more balanced perception, with 'Identification' (24.36%) and 'Attractiveness' (24.21%) being the most prominent categories in their descriptions."]</t>
  </si>
  <si>
    <t>["Visitors value the 'Outstanding Universal Values (OUVs)' of WHSs, as shown by the dominance of the 'Exceptionality' category in their reviews.", "Visitors also highly value 'authenticity,' which is a key component of the 'Attractiveness' category.", 'A disconnect exists between the holistic significance promoted by experts (including protection, management, integrity) and the aspects most salient to visitors (exceptionality, attractiveness).']</t>
  </si>
  <si>
    <t>perceptual_or_sentiment_insights</t>
  </si>
  <si>
    <t>Same finding (experts and visitors differ), reworded</t>
  </si>
  <si>
    <t>["A significant difference exists between how WHSs are described by UNESCO experts (the 'sender side') and how they are perceived by visitors (the 'receiver side').", "Visitors perceive World Heritage as a 'top brand', associating it with sophisticated attributes like 'elegant,' 'beautiful,' and 'brilliant'."]</t>
  </si>
  <si>
    <t>["A significant difference in perception exists between UNESCO experts and tourists, with experts holding a more balanced view across five personality dimensions, while visitors' perceptions are heavily skewed towards 'Exceptionality' and 'Attractiveness'."]</t>
  </si>
  <si>
    <t>community_user_differences</t>
  </si>
  <si>
    <t>Same point (UNESCO experts vs Tripadvisor visitors), reworded</t>
  </si>
  <si>
    <t>['The study compares the attributions of two distinct groups: UNESCO experts, who prepare the official descriptions, and Tripadvisor visitors, who share their post-visit experiences.']</t>
  </si>
  <si>
    <t>["The primary comparison is between 'UNESCO experts' (senders) and 'visitors on Tripadvisor' (receivers), finding that their perceptions of WHS personality differ significantly."]</t>
  </si>
  <si>
    <t>spatial_or_temporal_patterns</t>
  </si>
  <si>
    <t>applications_and_use_cases</t>
  </si>
  <si>
    <t>One shared item, others differ</t>
  </si>
  <si>
    <t>['The developed methods can assist destination managers and UNESCO experts in designing a World Heritage brand personality strategy.', 'Destination managers can monitor the WH personality distributions that visitors attribute to their WHSs in digital materials.', 'The model can be used for better brand positioning by studying digital texts related to brands in the same product category.', "The findings can be used to customize promotional content for visitors, focusing on 'Exceptionality' and 'Attractiveness'."]</t>
  </si>
  <si>
    <t>['The identified personality categories could be employed to measure other tourism attractions.', 'Destination managers can monitor the WH personality distributions that visitors attribute to their WHSs in their digital materials and other digital sources for competitors’ WHSs.', 'Destination managers can customize promotional content based on visitor perceptions.', 'The method can assist in better positioning WHSs.', 'The method can help design a WH Brand Personality strategy to boost the position of WHSs.']</t>
  </si>
  <si>
    <t>implications_for_heritage_management</t>
  </si>
  <si>
    <t>Different items: A addresses destination managers, B addresses UNESCO experts</t>
  </si>
  <si>
    <t>["Destination managers should customize promotional content to align with visitor perceptions, which are more oriented to 'Exceptionality' and 'Attractiveness'.", 'UNESCO experts should consider the discrepancy between their official descriptions and visitor perceptions to better communicate the intangible meanings of World Heritage.', 'Experts should consider how various UNESCO concepts relate to the identified personality categories when developing different WH personality strategies.']</t>
  </si>
  <si>
    <t>['UNESCO experts should further analyze the way in which visitors perceive intangible WH meanings.', 'Experts should consider how various UNESCO concepts relate to WH categories as reported in this study when developing a different WH personality strategy.']</t>
  </si>
  <si>
    <t>methodological_contributions</t>
  </si>
  <si>
    <t>['This study developed a three step approach to constructing WHS personality categories, aimed at overcoming the differences between the goals of academics, who want to create a general BP scale, and practitioners, who need to establish their own BP categories: generating items; refining items; and word embedding and clustering items.']</t>
  </si>
  <si>
    <t>Same three-phase method, worded differently</t>
  </si>
  <si>
    <t>['A new three-phase model for identifying and measuring brand personality from digital text data: (1) item generation; (2) item refinement; and (3) word embedding and clustering.', 'Development of a 192-item World Heritage Site personality dictionary.', 'The first study to apply word-embedding techniques to categorize brand personality items based on their correlated similarities.']</t>
  </si>
  <si>
    <t>['Designed a novel method for constructing context-driven Brand Personality categories through a multi-disciplinary approach.', 'Developed a three-step approach: generating items; refining items; and word embedding and clustering items.', "Proposed a 'BP Word Embedding Model' that applies text-mining and machine learning.", 'Offered a new technique for defining BP categories extracted for the first time entirely from digital texts.', 'Adopted the word-embedding technique to categorize items and assist in defining the similarity between WH personality items.']</t>
  </si>
  <si>
    <t>empirical_contributions</t>
  </si>
  <si>
    <t>A: the corpus analysed; B: the 192-item dictionary and results</t>
  </si>
  <si>
    <t>['Analysis of a large corpus of text including descriptions of all 1,121 UNESCO WHSs and 9,920 user-generated reviews from Tripadvisor.', 'The identification of five core personality categories for WHSs and their distribution across expert and visitor texts.']</t>
  </si>
  <si>
    <t>['Identified a 192-item WHS personality dictionary organized into five clusters: Exceptionality; Attractiveness; Identification; Responsibility; and Prominence.', 'The results show that UNESCO strongly associates WHSs with the attributes of Attractiveness and Identification.', 'Tripadvisor visitors attributed Exceptionality to 55.59% of WHSs.']</t>
  </si>
  <si>
    <t>conceptual_contributions</t>
  </si>
  <si>
    <t>Same first point, B adds more</t>
  </si>
  <si>
    <t>['Extends the brand personality concept to World Heritage Sites.', "Proposes a new method to construct context-driven brand personality categories, addressing limitations of generalizability in previous scales like Aaker's."]</t>
  </si>
  <si>
    <t>['Extends the Brand Personality (BP) concept to World Heritage Sites (WHSs) in a novel, data-driven way.', "Provides a framework for understanding the 'brand culture' of WHSs by comparing expert (sender) and visitor (receiver) perceptions.", 'Argues for a context-driven approach to defining personality scales, moving beyond generalized scales.']</t>
  </si>
  <si>
    <t>limitations_or_challenges</t>
  </si>
  <si>
    <t>['Limitations to this study included the amount of data available, which forced the authors to use the Fasttext pretrained language model.']</t>
  </si>
  <si>
    <t>Overlapping points; B adds the Iran limitation</t>
  </si>
  <si>
    <t>['The amount of data available was a limitation, which forced the use of a pre-trained language model (Fasttext) instead of training a custom model on subject-specific data.', 'The sample of visitor reviews was limited to those written in English, which may not represent the views of all visitors.']</t>
  </si>
  <si>
    <t>['The sample was limited to reviews written in English.', 'Most of the WHSs in Iran were not on Tripadvisor, limiting data collection.', 'The amount of data available forced the authors to use a pre-trained language model rather than training their own.', 'Inability to generate a custom language model due to insufficient sample size.']</t>
  </si>
  <si>
    <t>8 Ethics &amp; reproducibility</t>
  </si>
  <si>
    <t>privacy_and_data_protection</t>
  </si>
  <si>
    <t>bias_fairness_representativeness</t>
  </si>
  <si>
    <t>['The sample was limited to reviews written in English, although visitors were from many countries, reducing segment bias.']</t>
  </si>
  <si>
    <t>ethical_frameworks_or_guidelines</t>
  </si>
  <si>
    <t>cultural_community_considerations</t>
  </si>
  <si>
    <t>legal_or_policy_constraints</t>
  </si>
  <si>
    <t>risks_to_people_or_heritage</t>
  </si>
  <si>
    <t>copyright_or_licensing_issues</t>
  </si>
  <si>
    <t>limitations_acknowledged</t>
  </si>
  <si>
    <t>Same points; B adds English-only and Iran items</t>
  </si>
  <si>
    <t>['Limitations to this study included the amount of data available, which forced the authors to use the Fasttext pretrained language model.', 'Future studies may generate their own BP categories, with an adequate amount of text to establish their own language model, or apply the Fasttext model to their data.']</t>
  </si>
  <si>
    <t>['The sample was limited to reviews written in English.', 'most of the WHSs in Iran were not on Tripadvisor.', 'Limitations to this study included the amount of data available, which forced the authors to use the Fasttext pretrained language model.', 'Future studies may generate their own BP categories, with an adequate amount of text to establish their own language model, or apply the Fasttext model to their data.']</t>
  </si>
  <si>
    <t>code_availability</t>
  </si>
  <si>
    <t>codes are available from the authors (3)</t>
  </si>
  <si>
    <t>codes are available from the authors</t>
  </si>
  <si>
    <t>data_availability</t>
  </si>
  <si>
    <t>model_checkpoint_availability</t>
  </si>
  <si>
    <t>dataset_identifier_or_link</t>
  </si>
  <si>
    <t>computational_environment</t>
  </si>
  <si>
    <t>Knime Analytics Software 4.1.2 (1)</t>
  </si>
  <si>
    <t>Knime Analytics Software 4.1.2</t>
  </si>
  <si>
    <t>open_source_libraries_used</t>
  </si>
  <si>
    <t>pipeline_transparency</t>
  </si>
  <si>
    <t>9 Notes</t>
  </si>
  <si>
    <t>raw_terms_detected</t>
  </si>
  <si>
    <t>B: long term list</t>
  </si>
  <si>
    <t>digital text data (2); digital visitor reviews (2); digital textual data (1); psycholexical hypothesis (2); text mining (5); natural language processing (NLP) (3); word embedding (5); brand personality (BP) (25); destination personality (DP) (10); outstanding universal values (OUVs) (2)</t>
  </si>
  <si>
    <t>ambiguous_or_uncertain_cases</t>
  </si>
  <si>
    <t>extraction_notes</t>
  </si>
  <si>
    <t>Different notes; B flags a word-count typo in the paper</t>
  </si>
  <si>
    <t>The paper is primarily a marketing and computational linguistics study that uses World Heritage Sites as its case study. The focus is on developing a methodology for extracting 'brand personality' from text, rather than a traditional heritage analysis. A likely typo was identified in the text regarding the total number of words extracted; the number was corrected based on the provided breakdown in the paper.</t>
  </si>
  <si>
    <t>The paper contains a likely typo in the total word count, stating '1,400,247,000 words'. The sum of the two corpora mentioned (452,270 + 947,977) is 1,400,247. The extraction for dataset description reflects the corrected number. The paper's primary focus is on marketing methodology, using heritage as a case study domain.</t>
  </si>
  <si>
    <t>additional_relevant_information</t>
  </si>
  <si>
    <t>Different emphasis</t>
  </si>
  <si>
    <t>The study's main contribution is a new model for identifying and measuring the personality of brands (in this case, WHSs) from extensive digital text, aiming to overcome the limitations of traditional survey-based methods and better capture cultural context.</t>
  </si>
  <si>
    <t>The study proposes a 'BP Word Embedding Model' as a novel methodology for deriving brand personality from text. It heavily critiques existing brand personality scales (like Aaker's) for their lack of generalizability and context-specificity, positioning this work as a solution.</t>
  </si>
  <si>
    <t>Not in schema</t>
  </si>
  <si>
    <t>platform_twitter</t>
  </si>
  <si>
    <t>Not in sheet</t>
  </si>
  <si>
    <t>0</t>
  </si>
  <si>
    <t>modality_video</t>
  </si>
  <si>
    <t>modality_engagement</t>
  </si>
  <si>
    <t>Gemini 2 Flash: record A vs record B</t>
  </si>
  <si>
    <t>Fields</t>
  </si>
  <si>
    <t>Filled</t>
  </si>
  <si>
    <t>Only one record</t>
  </si>
  <si>
    <t>Identical rate</t>
  </si>
  <si>
    <t>Identical or similar</t>
  </si>
  <si>
    <t>Mean similarity</t>
  </si>
  <si>
    <t>All themes (schema fields)</t>
  </si>
  <si>
    <t>All (incl. not in schema)</t>
  </si>
  <si>
    <t>Gemini 2.5 Pro: record A vs record B</t>
  </si>
  <si>
    <t>Flash vs Pro on record A</t>
  </si>
  <si>
    <t>Filled by both</t>
  </si>
  <si>
    <t>Only one model (excluded)</t>
  </si>
  <si>
    <t>Flash vs Pro on record B</t>
  </si>
  <si>
    <t>Dataset</t>
  </si>
  <si>
    <t>Status</t>
  </si>
  <si>
    <t>Similarity</t>
  </si>
  <si>
    <t>Value A</t>
  </si>
  <si>
    <t>Value B</t>
  </si>
  <si>
    <t>Summary_Insights / Sheet1</t>
  </si>
  <si>
    <t>UNESCO_to_Map / Sheet1</t>
  </si>
  <si>
    <t>overall_status</t>
  </si>
  <si>
    <t>UNESCO</t>
  </si>
  <si>
    <t>unesco_site_names</t>
  </si>
  <si>
    <t>Cathedral, Alcázar and Archivo de Indias in Seville</t>
  </si>
  <si>
    <t>Cathedral, Alcázar and Archivo de Indias in Seville; Historic Centre of Macao</t>
  </si>
  <si>
    <t>(unnamed column F)</t>
  </si>
  <si>
    <t>(unnamed column G)</t>
  </si>
  <si>
    <t>is_referenced_by_count</t>
  </si>
  <si>
    <t>6</t>
  </si>
  <si>
    <t>(unnamed column I)</t>
  </si>
  <si>
    <t>unesco_site_names (column J)</t>
  </si>
  <si>
    <t>(unnamed column K)</t>
  </si>
  <si>
    <t>1</t>
  </si>
  <si>
    <t>unesco_site_names_old</t>
  </si>
  <si>
    <t>(unnamed column M)</t>
  </si>
  <si>
    <t>2</t>
  </si>
  <si>
    <t>iou_score</t>
  </si>
  <si>
    <t>0.5</t>
  </si>
  <si>
    <t>unesco_places</t>
  </si>
  <si>
    <t>Macau | the cathedral, the Real Alcázar and the Archivo General de Indias in Seville</t>
  </si>
  <si>
    <t>unesco_exact</t>
  </si>
  <si>
    <t>tentative_site_names</t>
  </si>
  <si>
    <t>City_Country_Pairs</t>
  </si>
  <si>
    <t>Girona (Spain)</t>
  </si>
  <si>
    <t>(unnamed column S)</t>
  </si>
  <si>
    <t>(unnamed column T)</t>
  </si>
  <si>
    <t>Department of Business, Universitat de Girona, Girona, Spain; Department of Business, Universitat de Girona, Girona, Spain; Department of Art and History of Art, Universitat de Girona, Girona, Spain</t>
  </si>
  <si>
    <t>Univ Girona, Fac Tourism, Dept Business, Girona, Spain;  Univ Girona, Fac Tourism, Dept Art &amp; Hist Art, Girona, Spain;  Univ Girona, Fac Tourism, Dept Hist Art Res Line Cultural Tourism &amp; Heritage, Placa Ferrater Mora 1, Girona Despatx 433, Girona 17004, Spain</t>
  </si>
  <si>
    <t>Extract_raw</t>
  </si>
  <si>
    <t>TripAdvisor, 
🔚</t>
  </si>
  <si>
    <t>Extract</t>
  </si>
  <si>
    <t>UNESCO_to_Map / To Map</t>
  </si>
  <si>
    <t>Binary_encodings.csv</t>
  </si>
  <si>
    <t>platform</t>
  </si>
  <si>
    <t>platform_flickr</t>
  </si>
  <si>
    <t>platform_instagram</t>
  </si>
  <si>
    <t>platform_facebook</t>
  </si>
  <si>
    <t>platform_tripadvisor</t>
  </si>
  <si>
    <t>platform_social_media_general</t>
  </si>
  <si>
    <t>platform_weibo</t>
  </si>
  <si>
    <t>platform_youtube</t>
  </si>
  <si>
    <t>platform_google_map</t>
  </si>
  <si>
    <t>platform_panoramio</t>
  </si>
  <si>
    <t>platform_ctrip</t>
  </si>
  <si>
    <t>platform_dianping</t>
  </si>
  <si>
    <t>platform_tiktok</t>
  </si>
  <si>
    <t>platform_foursquare</t>
  </si>
  <si>
    <t>platform_xiaohongshu</t>
  </si>
  <si>
    <t>platform_yelp</t>
  </si>
  <si>
    <t>platform_mafengwo</t>
  </si>
  <si>
    <t>platform_google</t>
  </si>
  <si>
    <t>platform_wechat</t>
  </si>
  <si>
    <t>platform_pinterest</t>
  </si>
  <si>
    <t>platform_openstreetmap</t>
  </si>
  <si>
    <t>modality</t>
  </si>
  <si>
    <t>modality_text</t>
  </si>
  <si>
    <t>modality_image</t>
  </si>
  <si>
    <t>modality_geolocation</t>
  </si>
  <si>
    <t>modality_spatial</t>
  </si>
  <si>
    <t>modality_temporal</t>
  </si>
  <si>
    <t>modality_structured_data</t>
  </si>
  <si>
    <t>modality_survey</t>
  </si>
  <si>
    <t>modality_metadata</t>
  </si>
  <si>
    <t>modality_user</t>
  </si>
  <si>
    <t>modality_3d</t>
  </si>
  <si>
    <t>modality_multimodal</t>
  </si>
  <si>
    <t>modality_ugc_general</t>
  </si>
  <si>
    <t>modality_audio</t>
  </si>
  <si>
    <t>modality_remote_sensing</t>
  </si>
  <si>
    <t>modality_trajectory</t>
  </si>
  <si>
    <t>modality_data_general</t>
  </si>
  <si>
    <t>modality_documentation</t>
  </si>
  <si>
    <t>modality_network_data</t>
  </si>
  <si>
    <t>task</t>
  </si>
  <si>
    <t>task_classification</t>
  </si>
  <si>
    <t>task_clustering</t>
  </si>
  <si>
    <t>task_sentiment_analysis</t>
  </si>
  <si>
    <t>task_topic_modeling</t>
  </si>
  <si>
    <t>task_text_mining</t>
  </si>
  <si>
    <t>task_regression</t>
  </si>
  <si>
    <t>task_object_detection</t>
  </si>
  <si>
    <t>task_image_recognition</t>
  </si>
  <si>
    <t>task_nlp</t>
  </si>
  <si>
    <t>task_ner</t>
  </si>
  <si>
    <t>task_recommendation</t>
  </si>
  <si>
    <t>task_network_analysis</t>
  </si>
  <si>
    <t>task_semantic_segmentation</t>
  </si>
  <si>
    <t>task_frequency_analysis</t>
  </si>
  <si>
    <t>task_keyword_extraction</t>
  </si>
  <si>
    <t>task_prediction</t>
  </si>
  <si>
    <t>task_information_retrieval</t>
  </si>
  <si>
    <t>task_content_analysis</t>
  </si>
  <si>
    <t>task_3d_reconstruction</t>
  </si>
  <si>
    <t>task_feature_extraction</t>
  </si>
  <si>
    <t>task_partofspeech_tagging</t>
  </si>
  <si>
    <t>task_dimensionality_reduction</t>
  </si>
  <si>
    <t>model</t>
  </si>
  <si>
    <t>model_lda</t>
  </si>
  <si>
    <t>model_bert</t>
  </si>
  <si>
    <t>model_kmean</t>
  </si>
  <si>
    <t>model_random_forest</t>
  </si>
  <si>
    <t>model_word2vec</t>
  </si>
  <si>
    <t>model_dbscan</t>
  </si>
  <si>
    <t>model_google_cloud_vision</t>
  </si>
  <si>
    <t>model_svm</t>
  </si>
  <si>
    <t>model_naive_baye</t>
  </si>
  <si>
    <t>model_recurrent_neural_network</t>
  </si>
  <si>
    <t>model_topic_model</t>
  </si>
  <si>
    <t>model_vgg16</t>
  </si>
  <si>
    <t>model_resnet</t>
  </si>
  <si>
    <t>model_resnet50</t>
  </si>
  <si>
    <t>model_gpt</t>
  </si>
  <si>
    <t>model_alexnet</t>
  </si>
  <si>
    <t>model_convolutional_neural_network</t>
  </si>
  <si>
    <t>model_jieba</t>
  </si>
  <si>
    <t>model_shap</t>
  </si>
  <si>
    <t>model_xgboost</t>
  </si>
  <si>
    <t>model_maxent</t>
  </si>
  <si>
    <t>model_vader</t>
  </si>
  <si>
    <t>model_googlenet</t>
  </si>
  <si>
    <t>model_glove</t>
  </si>
  <si>
    <t>model_hdbscan</t>
  </si>
  <si>
    <t>model_knn</t>
  </si>
  <si>
    <t>model_bertopic</t>
  </si>
  <si>
    <t>model_snownlp</t>
  </si>
  <si>
    <t>model_clarifai</t>
  </si>
  <si>
    <t>model_inceptionv3</t>
  </si>
  <si>
    <t>model_roberta</t>
  </si>
  <si>
    <t>topic</t>
  </si>
  <si>
    <t>Binary_Topic_-1</t>
  </si>
  <si>
    <t>Binary_Topic_0</t>
  </si>
  <si>
    <t>Binary_Topic_1</t>
  </si>
  <si>
    <t>Binary_Topic_2</t>
  </si>
  <si>
    <t>Binary_Topic_3</t>
  </si>
  <si>
    <t>Binary_Topic_4</t>
  </si>
  <si>
    <t>Binary_Topic_5</t>
  </si>
  <si>
    <t>Binary_Topic_6</t>
  </si>
  <si>
    <t>Binary_Topic_7</t>
  </si>
  <si>
    <t>Binary_Topic_8</t>
  </si>
  <si>
    <t>Agreement between record A and record B in the other processed datasets</t>
  </si>
  <si>
    <t>Note</t>
  </si>
  <si>
    <t>Same content as the Pro findings fields</t>
  </si>
  <si>
    <t>Sheet has unnamed and repeated column headers; unnamed columns are shown by their column letter</t>
  </si>
  <si>
    <t>Binary 0/1 codes; a 0 counts as a filled value, so 0-0 is an agreement. Only task_topic_modeling differs (A=1, B=0)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</si>
</sst>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2"/>
      <name val="Arial"/>
      <charset val="1"/>
    </font>
    <font>
      <sz val="10"/>
      <name val="Arial"/>
      <charset val="1"/>
    </font>
    <font>
      <b/>
      <sz val="10"/>
      <name val="Arial"/>
      <charset val="1"/>
    </font>
    <font>
      <b/>
      <sz val="11"/>
      <name val="Arial"/>
      <charset val="1"/>
    </font>
  </fonts>
  <fills count="7">
    <fill>
      <patternFill patternType="none"/>
    </fill>
    <fill>
      <patternFill patternType="gray125"/>
    </fill>
    <fill>
      <patternFill patternType="solid">
        <fgColor rgb="FFDDE3EA"/>
        <bgColor rgb="FFD9EAD3"/>
      </patternFill>
    </fill>
    <fill>
      <patternFill patternType="solid">
        <fgColor rgb="FFFFF2CC"/>
        <bgColor rgb="FFFFFFFF"/>
      </patternFill>
    </fill>
    <fill>
      <patternFill patternType="solid">
        <fgColor rgb="FFF4C7C3"/>
        <bgColor rgb="FFF9D5C4"/>
      </patternFill>
    </fill>
    <fill>
      <patternFill patternType="solid">
        <fgColor rgb="FFD9EAD3"/>
        <bgColor rgb="FFDDE3EA"/>
      </patternFill>
    </fill>
    <fill>
      <patternFill patternType="solid">
        <fgColor rgb="FFF9D5C4"/>
        <bgColor rgb="FFF4C7C3"/>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0" xfId="0" applyFont="1" applyFill="1" applyAlignment="1">
      <alignment vertical="top" wrapText="1"/>
    </xf>
    <xf numFmtId="0" fontId="2" fillId="0" borderId="0" xfId="0" applyFont="1" applyAlignment="1">
      <alignment vertical="top" wrapText="1"/>
    </xf>
    <xf numFmtId="0" fontId="2" fillId="3" borderId="0" xfId="0" applyFont="1" applyFill="1" applyAlignment="1">
      <alignment vertical="top" wrapText="1"/>
    </xf>
    <xf numFmtId="2" fontId="2" fillId="0" borderId="0" xfId="0" applyNumberFormat="1"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4" fillId="0" borderId="0" xfId="0" applyFont="1"/>
    <xf numFmtId="0" fontId="2" fillId="0" borderId="0" xfId="0" applyFont="1" applyAlignment="1">
      <alignment horizontal="right"/>
    </xf>
    <xf numFmtId="9" fontId="2" fillId="0" borderId="0" xfId="0" applyNumberFormat="1" applyFont="1" applyAlignment="1">
      <alignment horizontal="right"/>
    </xf>
    <xf numFmtId="2" fontId="2" fillId="0" borderId="0" xfId="0" applyNumberFormat="1" applyFont="1" applyAlignment="1">
      <alignment horizontal="right"/>
    </xf>
    <xf numFmtId="0" fontId="3" fillId="0" borderId="0" xfId="0" applyFont="1"/>
    <xf numFmtId="0" fontId="3" fillId="0" borderId="0" xfId="0" applyFont="1" applyAlignment="1">
      <alignment horizontal="right"/>
    </xf>
    <xf numFmtId="9" fontId="3" fillId="0" borderId="0" xfId="0" applyNumberFormat="1" applyFont="1" applyAlignment="1">
      <alignment horizontal="right"/>
    </xf>
    <xf numFmtId="2" fontId="3" fillId="0" borderId="0" xfId="0" applyNumberFormat="1" applyFont="1" applyAlignment="1">
      <alignment horizontal="right"/>
    </xf>
    <xf numFmtId="0" fontId="2" fillId="0" borderId="0" xfId="0" applyFont="1" applyAlignment="1">
      <alignment horizontal="left" vertical="top" wrapText="1"/>
    </xf>
    <xf numFmtId="0" fontId="2" fillId="0" borderId="0" xfId="0" applyFont="1" applyAlignment="1">
      <alignment horizontal="right" vertical="top" wrapText="1"/>
    </xf>
    <xf numFmtId="9" fontId="2" fillId="0" borderId="0" xfId="0" applyNumberFormat="1" applyFont="1" applyAlignment="1">
      <alignment horizontal="right" vertical="top" wrapText="1"/>
    </xf>
    <xf numFmtId="2"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9D5C4"/>
      <rgbColor rgb="FF808080"/>
      <rgbColor rgb="FF9999FF"/>
      <rgbColor rgb="FF993366"/>
      <rgbColor rgb="FFFFF2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7C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zoomScaleNormal="100" workbookViewId="0"/>
  </sheetViews>
  <sheetFormatPr defaultColWidth="8.6328125" defaultRowHeight="14.5" x14ac:dyDescent="0.35"/>
  <cols>
    <col min="1" max="1" width="150" customWidth="1"/>
  </cols>
  <sheetData>
    <row r="1" spans="1:1" ht="15.5" x14ac:dyDescent="0.35">
      <c r="A1" s="1" t="s">
        <v>0</v>
      </c>
    </row>
    <row r="2" spans="1:1" x14ac:dyDescent="0.35">
      <c r="A2" s="2"/>
    </row>
    <row r="3" spans="1:1" x14ac:dyDescent="0.35">
      <c r="A3" s="2" t="s">
        <v>1</v>
      </c>
    </row>
    <row r="4" spans="1:1" x14ac:dyDescent="0.35">
      <c r="A4" s="2" t="s">
        <v>2</v>
      </c>
    </row>
    <row r="5" spans="1:1" x14ac:dyDescent="0.35">
      <c r="A5" s="2" t="s">
        <v>3</v>
      </c>
    </row>
    <row r="6" spans="1:1" x14ac:dyDescent="0.35">
      <c r="A6" s="2"/>
    </row>
    <row r="7" spans="1:1" x14ac:dyDescent="0.35">
      <c r="A7" s="2" t="s">
        <v>4</v>
      </c>
    </row>
    <row r="8" spans="1:1" x14ac:dyDescent="0.35">
      <c r="A8" s="2" t="s">
        <v>5</v>
      </c>
    </row>
    <row r="9" spans="1:1" x14ac:dyDescent="0.35">
      <c r="A9" s="2" t="s">
        <v>6</v>
      </c>
    </row>
    <row r="10" spans="1:1" x14ac:dyDescent="0.35">
      <c r="A10" s="2" t="s">
        <v>7</v>
      </c>
    </row>
    <row r="11" spans="1:1" x14ac:dyDescent="0.35">
      <c r="A11" s="2" t="s">
        <v>8</v>
      </c>
    </row>
    <row r="12" spans="1:1" x14ac:dyDescent="0.35">
      <c r="A12" s="2" t="s">
        <v>9</v>
      </c>
    </row>
    <row r="13" spans="1:1" x14ac:dyDescent="0.35">
      <c r="A13" s="2" t="s">
        <v>10</v>
      </c>
    </row>
    <row r="14" spans="1:1" x14ac:dyDescent="0.35">
      <c r="A14" s="2" t="s">
        <v>11</v>
      </c>
    </row>
    <row r="15" spans="1:1" x14ac:dyDescent="0.35">
      <c r="A15" s="2"/>
    </row>
    <row r="16" spans="1:1" x14ac:dyDescent="0.35">
      <c r="A16" s="2" t="s">
        <v>12</v>
      </c>
    </row>
    <row r="17" spans="1:1" x14ac:dyDescent="0.35">
      <c r="A17" s="2" t="s">
        <v>13</v>
      </c>
    </row>
    <row r="18" spans="1:1" x14ac:dyDescent="0.35">
      <c r="A18" s="2" t="s">
        <v>14</v>
      </c>
    </row>
    <row r="19" spans="1:1" x14ac:dyDescent="0.35">
      <c r="A19" s="2" t="s">
        <v>15</v>
      </c>
    </row>
    <row r="20" spans="1:1" x14ac:dyDescent="0.35">
      <c r="A20" s="2" t="s">
        <v>16</v>
      </c>
    </row>
    <row r="21" spans="1:1" x14ac:dyDescent="0.35">
      <c r="A21" s="2" t="s">
        <v>17</v>
      </c>
    </row>
    <row r="23" spans="1:1" x14ac:dyDescent="0.35">
      <c r="A23" s="2"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6"/>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8.6328125" defaultRowHeight="14.5" x14ac:dyDescent="0.35"/>
  <cols>
    <col min="1" max="1" width="5" customWidth="1"/>
    <col min="2" max="2" width="24" customWidth="1"/>
    <col min="3" max="3" width="36" customWidth="1"/>
    <col min="4" max="4" width="14" customWidth="1"/>
    <col min="5" max="5" width="11" customWidth="1"/>
    <col min="6" max="6" width="45" customWidth="1"/>
    <col min="7" max="8" width="60" customWidth="1"/>
    <col min="9" max="9" width="14" customWidth="1"/>
    <col min="10" max="10" width="11" customWidth="1"/>
    <col min="11" max="11" width="45" customWidth="1"/>
    <col min="12" max="13" width="60" customWidth="1"/>
    <col min="14" max="14" width="18" customWidth="1"/>
    <col min="15" max="15" width="14" customWidth="1"/>
    <col min="16" max="16" width="11" customWidth="1"/>
    <col min="17" max="17" width="14" customWidth="1"/>
    <col min="18" max="18" width="11" customWidth="1"/>
  </cols>
  <sheetData>
    <row r="1" spans="1:18" ht="39" x14ac:dyDescent="0.3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row>
    <row r="2" spans="1:18" ht="30" customHeight="1" x14ac:dyDescent="0.35">
      <c r="A2" s="4">
        <v>1</v>
      </c>
      <c r="B2" s="4" t="s">
        <v>37</v>
      </c>
      <c r="C2" s="4" t="s">
        <v>38</v>
      </c>
      <c r="D2" s="5" t="s">
        <v>39</v>
      </c>
      <c r="E2" s="6">
        <v>0.55000000000000004</v>
      </c>
      <c r="F2" s="4" t="s">
        <v>40</v>
      </c>
      <c r="G2" s="4" t="s">
        <v>41</v>
      </c>
      <c r="H2" s="4" t="s">
        <v>42</v>
      </c>
      <c r="I2" s="4" t="s">
        <v>43</v>
      </c>
      <c r="J2" s="6"/>
      <c r="K2" s="4"/>
      <c r="L2" s="4"/>
      <c r="M2" s="4"/>
      <c r="N2" s="4" t="s">
        <v>44</v>
      </c>
      <c r="O2" s="7" t="s">
        <v>45</v>
      </c>
      <c r="P2" s="6"/>
      <c r="Q2" s="7" t="s">
        <v>45</v>
      </c>
      <c r="R2" s="6"/>
    </row>
    <row r="3" spans="1:18" ht="30" customHeight="1" x14ac:dyDescent="0.35">
      <c r="A3" s="4">
        <v>2</v>
      </c>
      <c r="B3" s="4" t="s">
        <v>37</v>
      </c>
      <c r="C3" s="4" t="s">
        <v>46</v>
      </c>
      <c r="D3" s="8" t="s">
        <v>47</v>
      </c>
      <c r="E3" s="6">
        <v>1</v>
      </c>
      <c r="F3" s="4"/>
      <c r="G3" s="4" t="s">
        <v>48</v>
      </c>
      <c r="H3" s="4" t="s">
        <v>48</v>
      </c>
      <c r="I3" s="4" t="s">
        <v>43</v>
      </c>
      <c r="J3" s="6"/>
      <c r="K3" s="4"/>
      <c r="L3" s="4"/>
      <c r="M3" s="4"/>
      <c r="N3" s="4" t="s">
        <v>44</v>
      </c>
      <c r="O3" s="7" t="s">
        <v>45</v>
      </c>
      <c r="P3" s="6"/>
      <c r="Q3" s="7" t="s">
        <v>45</v>
      </c>
      <c r="R3" s="6"/>
    </row>
    <row r="4" spans="1:18" ht="30" customHeight="1" x14ac:dyDescent="0.35">
      <c r="A4" s="4">
        <v>3</v>
      </c>
      <c r="B4" s="4" t="s">
        <v>37</v>
      </c>
      <c r="C4" s="4" t="s">
        <v>49</v>
      </c>
      <c r="D4" s="7" t="s">
        <v>50</v>
      </c>
      <c r="E4" s="6">
        <v>0</v>
      </c>
      <c r="F4" s="4" t="s">
        <v>51</v>
      </c>
      <c r="G4" s="4"/>
      <c r="H4" s="4" t="s">
        <v>52</v>
      </c>
      <c r="I4" s="4" t="s">
        <v>43</v>
      </c>
      <c r="J4" s="6"/>
      <c r="K4" s="4"/>
      <c r="L4" s="4"/>
      <c r="M4" s="4"/>
      <c r="N4" s="4" t="s">
        <v>44</v>
      </c>
      <c r="O4" s="4" t="s">
        <v>43</v>
      </c>
      <c r="P4" s="6"/>
      <c r="Q4" s="7" t="s">
        <v>45</v>
      </c>
      <c r="R4" s="6"/>
    </row>
    <row r="5" spans="1:18" ht="30" customHeight="1" x14ac:dyDescent="0.35">
      <c r="A5" s="4">
        <v>4</v>
      </c>
      <c r="B5" s="4" t="s">
        <v>37</v>
      </c>
      <c r="C5" s="4" t="s">
        <v>53</v>
      </c>
      <c r="D5" s="8" t="s">
        <v>47</v>
      </c>
      <c r="E5" s="6">
        <v>1</v>
      </c>
      <c r="F5" s="4"/>
      <c r="G5" s="4" t="s">
        <v>54</v>
      </c>
      <c r="H5" s="4" t="s">
        <v>54</v>
      </c>
      <c r="I5" s="4" t="s">
        <v>43</v>
      </c>
      <c r="J5" s="6"/>
      <c r="K5" s="4"/>
      <c r="L5" s="4"/>
      <c r="M5" s="4"/>
      <c r="N5" s="4" t="s">
        <v>44</v>
      </c>
      <c r="O5" s="7" t="s">
        <v>45</v>
      </c>
      <c r="P5" s="6"/>
      <c r="Q5" s="7" t="s">
        <v>45</v>
      </c>
      <c r="R5" s="6"/>
    </row>
    <row r="6" spans="1:18" ht="30" customHeight="1" x14ac:dyDescent="0.35">
      <c r="A6" s="4">
        <v>5</v>
      </c>
      <c r="B6" s="4" t="s">
        <v>37</v>
      </c>
      <c r="C6" s="4" t="s">
        <v>55</v>
      </c>
      <c r="D6" s="8" t="s">
        <v>47</v>
      </c>
      <c r="E6" s="6">
        <v>1</v>
      </c>
      <c r="F6" s="4"/>
      <c r="G6" s="4" t="s">
        <v>56</v>
      </c>
      <c r="H6" s="4" t="s">
        <v>56</v>
      </c>
      <c r="I6" s="4" t="s">
        <v>43</v>
      </c>
      <c r="J6" s="6"/>
      <c r="K6" s="4"/>
      <c r="L6" s="4"/>
      <c r="M6" s="4"/>
      <c r="N6" s="4" t="s">
        <v>44</v>
      </c>
      <c r="O6" s="7" t="s">
        <v>45</v>
      </c>
      <c r="P6" s="6"/>
      <c r="Q6" s="7" t="s">
        <v>45</v>
      </c>
      <c r="R6" s="6"/>
    </row>
    <row r="7" spans="1:18" ht="30" customHeight="1" x14ac:dyDescent="0.35">
      <c r="A7" s="4">
        <v>6</v>
      </c>
      <c r="B7" s="4" t="s">
        <v>37</v>
      </c>
      <c r="C7" s="4" t="s">
        <v>57</v>
      </c>
      <c r="D7" s="7" t="s">
        <v>58</v>
      </c>
      <c r="E7" s="6">
        <v>0</v>
      </c>
      <c r="F7" s="4" t="s">
        <v>59</v>
      </c>
      <c r="G7" s="4" t="s">
        <v>60</v>
      </c>
      <c r="H7" s="4"/>
      <c r="I7" s="4" t="s">
        <v>43</v>
      </c>
      <c r="J7" s="6"/>
      <c r="K7" s="4"/>
      <c r="L7" s="4"/>
      <c r="M7" s="4"/>
      <c r="N7" s="4" t="s">
        <v>44</v>
      </c>
      <c r="O7" s="7" t="s">
        <v>45</v>
      </c>
      <c r="P7" s="6"/>
      <c r="Q7" s="4" t="s">
        <v>43</v>
      </c>
      <c r="R7" s="6"/>
    </row>
    <row r="8" spans="1:18" ht="30" customHeight="1" x14ac:dyDescent="0.35">
      <c r="A8" s="4">
        <v>7</v>
      </c>
      <c r="B8" s="4" t="s">
        <v>37</v>
      </c>
      <c r="C8" s="4" t="s">
        <v>61</v>
      </c>
      <c r="D8" s="4" t="s">
        <v>43</v>
      </c>
      <c r="E8" s="6"/>
      <c r="F8" s="4"/>
      <c r="G8" s="4"/>
      <c r="H8" s="4"/>
      <c r="I8" s="4" t="s">
        <v>43</v>
      </c>
      <c r="J8" s="6"/>
      <c r="K8" s="4"/>
      <c r="L8" s="4"/>
      <c r="M8" s="4"/>
      <c r="N8" s="4"/>
      <c r="O8" s="4" t="s">
        <v>43</v>
      </c>
      <c r="P8" s="6"/>
      <c r="Q8" s="4" t="s">
        <v>43</v>
      </c>
      <c r="R8" s="6"/>
    </row>
    <row r="9" spans="1:18" ht="30" customHeight="1" x14ac:dyDescent="0.35">
      <c r="A9" s="4">
        <v>8</v>
      </c>
      <c r="B9" s="4" t="s">
        <v>37</v>
      </c>
      <c r="C9" s="4" t="s">
        <v>62</v>
      </c>
      <c r="D9" s="8" t="s">
        <v>47</v>
      </c>
      <c r="E9" s="6">
        <v>1</v>
      </c>
      <c r="F9" s="4"/>
      <c r="G9" s="4" t="s">
        <v>63</v>
      </c>
      <c r="H9" s="4" t="s">
        <v>63</v>
      </c>
      <c r="I9" s="4" t="s">
        <v>43</v>
      </c>
      <c r="J9" s="6"/>
      <c r="K9" s="4"/>
      <c r="L9" s="4"/>
      <c r="M9" s="4"/>
      <c r="N9" s="4" t="s">
        <v>44</v>
      </c>
      <c r="O9" s="7" t="s">
        <v>45</v>
      </c>
      <c r="P9" s="6"/>
      <c r="Q9" s="7" t="s">
        <v>45</v>
      </c>
      <c r="R9" s="6"/>
    </row>
    <row r="10" spans="1:18" ht="30" customHeight="1" x14ac:dyDescent="0.35">
      <c r="A10" s="4">
        <v>9</v>
      </c>
      <c r="B10" s="4" t="s">
        <v>37</v>
      </c>
      <c r="C10" s="4" t="s">
        <v>64</v>
      </c>
      <c r="D10" s="8" t="s">
        <v>47</v>
      </c>
      <c r="E10" s="6">
        <v>1</v>
      </c>
      <c r="F10" s="4"/>
      <c r="G10" s="4" t="s">
        <v>63</v>
      </c>
      <c r="H10" s="4" t="s">
        <v>63</v>
      </c>
      <c r="I10" s="4" t="s">
        <v>43</v>
      </c>
      <c r="J10" s="6"/>
      <c r="K10" s="4"/>
      <c r="L10" s="4"/>
      <c r="M10" s="4"/>
      <c r="N10" s="4" t="s">
        <v>44</v>
      </c>
      <c r="O10" s="7" t="s">
        <v>45</v>
      </c>
      <c r="P10" s="6"/>
      <c r="Q10" s="7" t="s">
        <v>45</v>
      </c>
      <c r="R10" s="6"/>
    </row>
    <row r="11" spans="1:18" ht="30" customHeight="1" x14ac:dyDescent="0.35">
      <c r="A11" s="4">
        <v>10</v>
      </c>
      <c r="B11" s="4" t="s">
        <v>37</v>
      </c>
      <c r="C11" s="4" t="s">
        <v>65</v>
      </c>
      <c r="D11" s="4" t="s">
        <v>43</v>
      </c>
      <c r="E11" s="6"/>
      <c r="F11" s="4"/>
      <c r="G11" s="4"/>
      <c r="H11" s="4"/>
      <c r="I11" s="4" t="s">
        <v>43</v>
      </c>
      <c r="J11" s="6"/>
      <c r="K11" s="4"/>
      <c r="L11" s="4"/>
      <c r="M11" s="4"/>
      <c r="N11" s="4"/>
      <c r="O11" s="4" t="s">
        <v>43</v>
      </c>
      <c r="P11" s="6"/>
      <c r="Q11" s="4" t="s">
        <v>43</v>
      </c>
      <c r="R11" s="6"/>
    </row>
    <row r="12" spans="1:18" ht="30" customHeight="1" x14ac:dyDescent="0.35">
      <c r="A12" s="4">
        <v>11</v>
      </c>
      <c r="B12" s="4" t="s">
        <v>37</v>
      </c>
      <c r="C12" s="4" t="s">
        <v>66</v>
      </c>
      <c r="D12" s="4" t="s">
        <v>43</v>
      </c>
      <c r="E12" s="6"/>
      <c r="F12" s="4"/>
      <c r="G12" s="4"/>
      <c r="H12" s="4"/>
      <c r="I12" s="4" t="s">
        <v>43</v>
      </c>
      <c r="J12" s="6"/>
      <c r="K12" s="4"/>
      <c r="L12" s="4"/>
      <c r="M12" s="4"/>
      <c r="N12" s="4"/>
      <c r="O12" s="4" t="s">
        <v>43</v>
      </c>
      <c r="P12" s="6"/>
      <c r="Q12" s="4" t="s">
        <v>43</v>
      </c>
      <c r="R12" s="6"/>
    </row>
    <row r="13" spans="1:18" ht="30" customHeight="1" x14ac:dyDescent="0.35">
      <c r="A13" s="4">
        <v>12</v>
      </c>
      <c r="B13" s="4" t="s">
        <v>67</v>
      </c>
      <c r="C13" s="4" t="s">
        <v>68</v>
      </c>
      <c r="D13" s="5" t="s">
        <v>39</v>
      </c>
      <c r="E13" s="6">
        <v>0.66</v>
      </c>
      <c r="F13" s="4" t="s">
        <v>69</v>
      </c>
      <c r="G13" s="4" t="s">
        <v>70</v>
      </c>
      <c r="H13" s="4" t="s">
        <v>71</v>
      </c>
      <c r="I13" s="4" t="s">
        <v>43</v>
      </c>
      <c r="J13" s="6"/>
      <c r="K13" s="4"/>
      <c r="L13" s="4"/>
      <c r="M13" s="4"/>
      <c r="N13" s="4" t="s">
        <v>44</v>
      </c>
      <c r="O13" s="7" t="s">
        <v>45</v>
      </c>
      <c r="P13" s="6"/>
      <c r="Q13" s="7" t="s">
        <v>45</v>
      </c>
      <c r="R13" s="6"/>
    </row>
    <row r="14" spans="1:18" ht="30" customHeight="1" x14ac:dyDescent="0.35">
      <c r="A14" s="4">
        <v>13</v>
      </c>
      <c r="B14" s="4" t="s">
        <v>67</v>
      </c>
      <c r="C14" s="4" t="s">
        <v>72</v>
      </c>
      <c r="D14" s="8" t="s">
        <v>47</v>
      </c>
      <c r="E14" s="6">
        <v>1</v>
      </c>
      <c r="F14" s="4"/>
      <c r="G14" s="4" t="s">
        <v>73</v>
      </c>
      <c r="H14" s="4" t="s">
        <v>73</v>
      </c>
      <c r="I14" s="4" t="s">
        <v>43</v>
      </c>
      <c r="J14" s="6"/>
      <c r="K14" s="4"/>
      <c r="L14" s="4"/>
      <c r="M14" s="4"/>
      <c r="N14" s="4" t="s">
        <v>44</v>
      </c>
      <c r="O14" s="7" t="s">
        <v>45</v>
      </c>
      <c r="P14" s="6"/>
      <c r="Q14" s="7" t="s">
        <v>45</v>
      </c>
      <c r="R14" s="6"/>
    </row>
    <row r="15" spans="1:18" ht="30" customHeight="1" x14ac:dyDescent="0.35">
      <c r="A15" s="4">
        <v>14</v>
      </c>
      <c r="B15" s="4" t="s">
        <v>67</v>
      </c>
      <c r="C15" s="4" t="s">
        <v>74</v>
      </c>
      <c r="D15" s="9" t="s">
        <v>75</v>
      </c>
      <c r="E15" s="6">
        <v>0.33</v>
      </c>
      <c r="F15" s="4" t="s">
        <v>76</v>
      </c>
      <c r="G15" s="4" t="s">
        <v>77</v>
      </c>
      <c r="H15" s="4" t="s">
        <v>78</v>
      </c>
      <c r="I15" s="4" t="s">
        <v>43</v>
      </c>
      <c r="J15" s="6"/>
      <c r="K15" s="4"/>
      <c r="L15" s="4"/>
      <c r="M15" s="4"/>
      <c r="N15" s="4" t="s">
        <v>44</v>
      </c>
      <c r="O15" s="7" t="s">
        <v>45</v>
      </c>
      <c r="P15" s="6"/>
      <c r="Q15" s="7" t="s">
        <v>45</v>
      </c>
      <c r="R15" s="6"/>
    </row>
    <row r="16" spans="1:18" ht="30" customHeight="1" x14ac:dyDescent="0.35">
      <c r="A16" s="4">
        <v>15</v>
      </c>
      <c r="B16" s="4" t="s">
        <v>67</v>
      </c>
      <c r="C16" s="4" t="s">
        <v>79</v>
      </c>
      <c r="D16" s="5" t="s">
        <v>39</v>
      </c>
      <c r="E16" s="6">
        <v>0.62</v>
      </c>
      <c r="F16" s="4" t="s">
        <v>80</v>
      </c>
      <c r="G16" s="4" t="s">
        <v>81</v>
      </c>
      <c r="H16" s="4" t="s">
        <v>82</v>
      </c>
      <c r="I16" s="4" t="s">
        <v>43</v>
      </c>
      <c r="J16" s="6"/>
      <c r="K16" s="4"/>
      <c r="L16" s="4"/>
      <c r="M16" s="4"/>
      <c r="N16" s="4" t="s">
        <v>44</v>
      </c>
      <c r="O16" s="7" t="s">
        <v>45</v>
      </c>
      <c r="P16" s="6"/>
      <c r="Q16" s="7" t="s">
        <v>45</v>
      </c>
      <c r="R16" s="6"/>
    </row>
    <row r="17" spans="1:18" ht="30" customHeight="1" x14ac:dyDescent="0.35">
      <c r="A17" s="4">
        <v>16</v>
      </c>
      <c r="B17" s="4" t="s">
        <v>67</v>
      </c>
      <c r="C17" s="4" t="s">
        <v>83</v>
      </c>
      <c r="D17" s="7" t="s">
        <v>58</v>
      </c>
      <c r="E17" s="6">
        <v>0</v>
      </c>
      <c r="F17" s="4" t="s">
        <v>84</v>
      </c>
      <c r="G17" s="4" t="s">
        <v>85</v>
      </c>
      <c r="H17" s="4"/>
      <c r="I17" s="9" t="s">
        <v>75</v>
      </c>
      <c r="J17" s="6">
        <v>0.32</v>
      </c>
      <c r="K17" s="4" t="s">
        <v>86</v>
      </c>
      <c r="L17" s="4" t="s">
        <v>87</v>
      </c>
      <c r="M17" s="4" t="s">
        <v>88</v>
      </c>
      <c r="N17" s="4" t="s">
        <v>89</v>
      </c>
      <c r="O17" s="9" t="s">
        <v>75</v>
      </c>
      <c r="P17" s="6">
        <v>0.11</v>
      </c>
      <c r="Q17" s="7" t="s">
        <v>90</v>
      </c>
      <c r="R17" s="6"/>
    </row>
    <row r="18" spans="1:18" ht="30" customHeight="1" x14ac:dyDescent="0.35">
      <c r="A18" s="4">
        <v>17</v>
      </c>
      <c r="B18" s="4" t="s">
        <v>67</v>
      </c>
      <c r="C18" s="4" t="s">
        <v>91</v>
      </c>
      <c r="D18" s="9" t="s">
        <v>75</v>
      </c>
      <c r="E18" s="6">
        <v>0.43</v>
      </c>
      <c r="F18" s="4" t="s">
        <v>92</v>
      </c>
      <c r="G18" s="4" t="s">
        <v>93</v>
      </c>
      <c r="H18" s="4" t="s">
        <v>94</v>
      </c>
      <c r="I18" s="9" t="s">
        <v>75</v>
      </c>
      <c r="J18" s="6">
        <v>0.37</v>
      </c>
      <c r="K18" s="4" t="s">
        <v>95</v>
      </c>
      <c r="L18" s="4" t="s">
        <v>96</v>
      </c>
      <c r="M18" s="4" t="s">
        <v>97</v>
      </c>
      <c r="N18" s="4" t="s">
        <v>98</v>
      </c>
      <c r="O18" s="9" t="s">
        <v>75</v>
      </c>
      <c r="P18" s="6">
        <v>0.23</v>
      </c>
      <c r="Q18" s="9" t="s">
        <v>75</v>
      </c>
      <c r="R18" s="6">
        <v>0.28000000000000003</v>
      </c>
    </row>
    <row r="19" spans="1:18" ht="30" customHeight="1" x14ac:dyDescent="0.35">
      <c r="A19" s="4">
        <v>18</v>
      </c>
      <c r="B19" s="4" t="s">
        <v>67</v>
      </c>
      <c r="C19" s="4" t="s">
        <v>99</v>
      </c>
      <c r="D19" s="5" t="s">
        <v>39</v>
      </c>
      <c r="E19" s="6">
        <v>0.67</v>
      </c>
      <c r="F19" s="4" t="s">
        <v>100</v>
      </c>
      <c r="G19" s="4" t="s">
        <v>101</v>
      </c>
      <c r="H19" s="4" t="s">
        <v>102</v>
      </c>
      <c r="I19" s="4" t="s">
        <v>43</v>
      </c>
      <c r="J19" s="6"/>
      <c r="K19" s="4"/>
      <c r="L19" s="4"/>
      <c r="M19" s="4"/>
      <c r="N19" s="4" t="s">
        <v>44</v>
      </c>
      <c r="O19" s="7" t="s">
        <v>45</v>
      </c>
      <c r="P19" s="6"/>
      <c r="Q19" s="7" t="s">
        <v>45</v>
      </c>
      <c r="R19" s="6"/>
    </row>
    <row r="20" spans="1:18" ht="30" customHeight="1" x14ac:dyDescent="0.35">
      <c r="A20" s="4">
        <v>19</v>
      </c>
      <c r="B20" s="4" t="s">
        <v>67</v>
      </c>
      <c r="C20" s="4" t="s">
        <v>103</v>
      </c>
      <c r="D20" s="4" t="s">
        <v>43</v>
      </c>
      <c r="E20" s="6"/>
      <c r="F20" s="4"/>
      <c r="G20" s="4"/>
      <c r="H20" s="4"/>
      <c r="I20" s="5" t="s">
        <v>39</v>
      </c>
      <c r="J20" s="6">
        <v>0.78</v>
      </c>
      <c r="K20" s="4" t="s">
        <v>104</v>
      </c>
      <c r="L20" s="4" t="s">
        <v>105</v>
      </c>
      <c r="M20" s="4" t="s">
        <v>106</v>
      </c>
      <c r="N20" s="4" t="s">
        <v>107</v>
      </c>
      <c r="O20" s="7" t="s">
        <v>90</v>
      </c>
      <c r="P20" s="6"/>
      <c r="Q20" s="7" t="s">
        <v>90</v>
      </c>
      <c r="R20" s="6"/>
    </row>
    <row r="21" spans="1:18" ht="30" customHeight="1" x14ac:dyDescent="0.35">
      <c r="A21" s="4">
        <v>20</v>
      </c>
      <c r="B21" s="4" t="s">
        <v>67</v>
      </c>
      <c r="C21" s="4" t="s">
        <v>108</v>
      </c>
      <c r="D21" s="5" t="s">
        <v>39</v>
      </c>
      <c r="E21" s="6">
        <v>0.86</v>
      </c>
      <c r="F21" s="4" t="s">
        <v>109</v>
      </c>
      <c r="G21" s="4" t="s">
        <v>110</v>
      </c>
      <c r="H21" s="4" t="s">
        <v>111</v>
      </c>
      <c r="I21" s="5" t="s">
        <v>39</v>
      </c>
      <c r="J21" s="6">
        <v>0.62</v>
      </c>
      <c r="K21" s="4" t="s">
        <v>112</v>
      </c>
      <c r="L21" s="4" t="s">
        <v>113</v>
      </c>
      <c r="M21" s="4" t="s">
        <v>114</v>
      </c>
      <c r="N21" s="4" t="s">
        <v>98</v>
      </c>
      <c r="O21" s="5" t="s">
        <v>39</v>
      </c>
      <c r="P21" s="6">
        <v>0.93</v>
      </c>
      <c r="Q21" s="9" t="s">
        <v>75</v>
      </c>
      <c r="R21" s="6">
        <v>0.47</v>
      </c>
    </row>
    <row r="22" spans="1:18" ht="30" customHeight="1" x14ac:dyDescent="0.35">
      <c r="A22" s="4">
        <v>21</v>
      </c>
      <c r="B22" s="4" t="s">
        <v>67</v>
      </c>
      <c r="C22" s="4" t="s">
        <v>115</v>
      </c>
      <c r="D22" s="4" t="s">
        <v>43</v>
      </c>
      <c r="E22" s="6"/>
      <c r="F22" s="4"/>
      <c r="G22" s="4"/>
      <c r="H22" s="4"/>
      <c r="I22" s="4" t="s">
        <v>43</v>
      </c>
      <c r="J22" s="6"/>
      <c r="K22" s="4"/>
      <c r="L22" s="4"/>
      <c r="M22" s="4"/>
      <c r="N22" s="4"/>
      <c r="O22" s="4" t="s">
        <v>43</v>
      </c>
      <c r="P22" s="6"/>
      <c r="Q22" s="4" t="s">
        <v>43</v>
      </c>
      <c r="R22" s="6"/>
    </row>
    <row r="23" spans="1:18" ht="30" customHeight="1" x14ac:dyDescent="0.35">
      <c r="A23" s="4">
        <v>22</v>
      </c>
      <c r="B23" s="4" t="s">
        <v>67</v>
      </c>
      <c r="C23" s="4" t="s">
        <v>116</v>
      </c>
      <c r="D23" s="7" t="s">
        <v>58</v>
      </c>
      <c r="E23" s="6">
        <v>0</v>
      </c>
      <c r="F23" s="4" t="s">
        <v>117</v>
      </c>
      <c r="G23" s="4" t="s">
        <v>118</v>
      </c>
      <c r="H23" s="4"/>
      <c r="I23" s="7" t="s">
        <v>58</v>
      </c>
      <c r="J23" s="6">
        <v>0</v>
      </c>
      <c r="K23" s="4" t="s">
        <v>119</v>
      </c>
      <c r="L23" s="4" t="s">
        <v>120</v>
      </c>
      <c r="M23" s="4"/>
      <c r="N23" s="4" t="s">
        <v>121</v>
      </c>
      <c r="O23" s="9" t="s">
        <v>75</v>
      </c>
      <c r="P23" s="6">
        <v>0.24</v>
      </c>
      <c r="Q23" s="4" t="s">
        <v>43</v>
      </c>
      <c r="R23" s="6"/>
    </row>
    <row r="24" spans="1:18" ht="30" customHeight="1" x14ac:dyDescent="0.35">
      <c r="A24" s="4">
        <v>23</v>
      </c>
      <c r="B24" s="4" t="s">
        <v>67</v>
      </c>
      <c r="C24" s="4" t="s">
        <v>122</v>
      </c>
      <c r="D24" s="8" t="s">
        <v>47</v>
      </c>
      <c r="E24" s="6">
        <v>1</v>
      </c>
      <c r="F24" s="4"/>
      <c r="G24" s="4" t="s">
        <v>123</v>
      </c>
      <c r="H24" s="4" t="s">
        <v>123</v>
      </c>
      <c r="I24" s="4" t="s">
        <v>43</v>
      </c>
      <c r="J24" s="6"/>
      <c r="K24" s="4"/>
      <c r="L24" s="4"/>
      <c r="M24" s="4"/>
      <c r="N24" s="4" t="s">
        <v>44</v>
      </c>
      <c r="O24" s="7" t="s">
        <v>45</v>
      </c>
      <c r="P24" s="6"/>
      <c r="Q24" s="7" t="s">
        <v>45</v>
      </c>
      <c r="R24" s="6"/>
    </row>
    <row r="25" spans="1:18" ht="30" customHeight="1" x14ac:dyDescent="0.35">
      <c r="A25" s="4">
        <v>24</v>
      </c>
      <c r="B25" s="4" t="s">
        <v>67</v>
      </c>
      <c r="C25" s="4" t="s">
        <v>124</v>
      </c>
      <c r="D25" s="9" t="s">
        <v>75</v>
      </c>
      <c r="E25" s="6">
        <v>0.35</v>
      </c>
      <c r="F25" s="4" t="s">
        <v>125</v>
      </c>
      <c r="G25" s="4" t="s">
        <v>126</v>
      </c>
      <c r="H25" s="4" t="s">
        <v>127</v>
      </c>
      <c r="I25" s="4" t="s">
        <v>43</v>
      </c>
      <c r="J25" s="6"/>
      <c r="K25" s="4"/>
      <c r="L25" s="4"/>
      <c r="M25" s="4"/>
      <c r="N25" s="4" t="s">
        <v>44</v>
      </c>
      <c r="O25" s="7" t="s">
        <v>45</v>
      </c>
      <c r="P25" s="6"/>
      <c r="Q25" s="7" t="s">
        <v>45</v>
      </c>
      <c r="R25" s="6"/>
    </row>
    <row r="26" spans="1:18" ht="30" customHeight="1" x14ac:dyDescent="0.35">
      <c r="A26" s="4">
        <v>25</v>
      </c>
      <c r="B26" s="4" t="s">
        <v>128</v>
      </c>
      <c r="C26" s="4" t="s">
        <v>129</v>
      </c>
      <c r="D26" s="5" t="s">
        <v>39</v>
      </c>
      <c r="E26" s="6">
        <v>0.63</v>
      </c>
      <c r="F26" s="4" t="s">
        <v>130</v>
      </c>
      <c r="G26" s="4" t="s">
        <v>131</v>
      </c>
      <c r="H26" s="4" t="s">
        <v>132</v>
      </c>
      <c r="I26" s="4" t="s">
        <v>43</v>
      </c>
      <c r="J26" s="6"/>
      <c r="K26" s="4"/>
      <c r="L26" s="4"/>
      <c r="M26" s="4"/>
      <c r="N26" s="4" t="s">
        <v>44</v>
      </c>
      <c r="O26" s="7" t="s">
        <v>45</v>
      </c>
      <c r="P26" s="6"/>
      <c r="Q26" s="7" t="s">
        <v>45</v>
      </c>
      <c r="R26" s="6"/>
    </row>
    <row r="27" spans="1:18" ht="30" customHeight="1" x14ac:dyDescent="0.35">
      <c r="A27" s="4">
        <v>26</v>
      </c>
      <c r="B27" s="4" t="s">
        <v>128</v>
      </c>
      <c r="C27" s="4" t="s">
        <v>133</v>
      </c>
      <c r="D27" s="9" t="s">
        <v>75</v>
      </c>
      <c r="E27" s="6">
        <v>0.25</v>
      </c>
      <c r="F27" s="4" t="s">
        <v>134</v>
      </c>
      <c r="G27" s="4" t="s">
        <v>135</v>
      </c>
      <c r="H27" s="4" t="s">
        <v>136</v>
      </c>
      <c r="I27" s="5" t="s">
        <v>39</v>
      </c>
      <c r="J27" s="6">
        <v>0.5</v>
      </c>
      <c r="K27" s="4" t="s">
        <v>137</v>
      </c>
      <c r="L27" s="4" t="s">
        <v>138</v>
      </c>
      <c r="M27" s="4" t="s">
        <v>139</v>
      </c>
      <c r="N27" s="4" t="s">
        <v>89</v>
      </c>
      <c r="O27" s="9" t="s">
        <v>75</v>
      </c>
      <c r="P27" s="6">
        <v>0.42</v>
      </c>
      <c r="Q27" s="8" t="s">
        <v>47</v>
      </c>
      <c r="R27" s="6">
        <v>1</v>
      </c>
    </row>
    <row r="28" spans="1:18" ht="30" customHeight="1" x14ac:dyDescent="0.35">
      <c r="A28" s="4">
        <v>27</v>
      </c>
      <c r="B28" s="4" t="s">
        <v>128</v>
      </c>
      <c r="C28" s="4" t="s">
        <v>140</v>
      </c>
      <c r="D28" s="4" t="s">
        <v>43</v>
      </c>
      <c r="E28" s="6"/>
      <c r="F28" s="4"/>
      <c r="G28" s="4"/>
      <c r="H28" s="4"/>
      <c r="I28" s="4" t="s">
        <v>43</v>
      </c>
      <c r="J28" s="6"/>
      <c r="K28" s="4"/>
      <c r="L28" s="4"/>
      <c r="M28" s="4"/>
      <c r="N28" s="4"/>
      <c r="O28" s="4" t="s">
        <v>43</v>
      </c>
      <c r="P28" s="6"/>
      <c r="Q28" s="4" t="s">
        <v>43</v>
      </c>
      <c r="R28" s="6"/>
    </row>
    <row r="29" spans="1:18" ht="30" customHeight="1" x14ac:dyDescent="0.35">
      <c r="A29" s="4">
        <v>28</v>
      </c>
      <c r="B29" s="4" t="s">
        <v>128</v>
      </c>
      <c r="C29" s="4" t="s">
        <v>141</v>
      </c>
      <c r="D29" s="4" t="s">
        <v>43</v>
      </c>
      <c r="E29" s="6"/>
      <c r="F29" s="4"/>
      <c r="G29" s="4"/>
      <c r="H29" s="4"/>
      <c r="I29" s="4" t="s">
        <v>43</v>
      </c>
      <c r="J29" s="6"/>
      <c r="K29" s="4"/>
      <c r="L29" s="4"/>
      <c r="M29" s="4"/>
      <c r="N29" s="4"/>
      <c r="O29" s="4" t="s">
        <v>43</v>
      </c>
      <c r="P29" s="6"/>
      <c r="Q29" s="4" t="s">
        <v>43</v>
      </c>
      <c r="R29" s="6"/>
    </row>
    <row r="30" spans="1:18" ht="30" customHeight="1" x14ac:dyDescent="0.35">
      <c r="A30" s="4">
        <v>29</v>
      </c>
      <c r="B30" s="4" t="s">
        <v>128</v>
      </c>
      <c r="C30" s="4" t="s">
        <v>142</v>
      </c>
      <c r="D30" s="4" t="s">
        <v>43</v>
      </c>
      <c r="E30" s="6"/>
      <c r="F30" s="4"/>
      <c r="G30" s="4"/>
      <c r="H30" s="4"/>
      <c r="I30" s="4" t="s">
        <v>43</v>
      </c>
      <c r="J30" s="6"/>
      <c r="K30" s="4"/>
      <c r="L30" s="4"/>
      <c r="M30" s="4"/>
      <c r="N30" s="4"/>
      <c r="O30" s="4" t="s">
        <v>43</v>
      </c>
      <c r="P30" s="6"/>
      <c r="Q30" s="4" t="s">
        <v>43</v>
      </c>
      <c r="R30" s="6"/>
    </row>
    <row r="31" spans="1:18" ht="30" customHeight="1" x14ac:dyDescent="0.35">
      <c r="A31" s="4">
        <v>30</v>
      </c>
      <c r="B31" s="4" t="s">
        <v>128</v>
      </c>
      <c r="C31" s="4" t="s">
        <v>143</v>
      </c>
      <c r="D31" s="4" t="s">
        <v>43</v>
      </c>
      <c r="E31" s="6"/>
      <c r="F31" s="4"/>
      <c r="G31" s="4"/>
      <c r="H31" s="4"/>
      <c r="I31" s="4" t="s">
        <v>43</v>
      </c>
      <c r="J31" s="6"/>
      <c r="K31" s="4"/>
      <c r="L31" s="4"/>
      <c r="M31" s="4"/>
      <c r="N31" s="4"/>
      <c r="O31" s="4" t="s">
        <v>43</v>
      </c>
      <c r="P31" s="6"/>
      <c r="Q31" s="4" t="s">
        <v>43</v>
      </c>
      <c r="R31" s="6"/>
    </row>
    <row r="32" spans="1:18" ht="30" customHeight="1" x14ac:dyDescent="0.35">
      <c r="A32" s="4">
        <v>31</v>
      </c>
      <c r="B32" s="4" t="s">
        <v>128</v>
      </c>
      <c r="C32" s="4" t="s">
        <v>144</v>
      </c>
      <c r="D32" s="4" t="s">
        <v>43</v>
      </c>
      <c r="E32" s="6"/>
      <c r="F32" s="4"/>
      <c r="G32" s="4"/>
      <c r="H32" s="4"/>
      <c r="I32" s="4" t="s">
        <v>43</v>
      </c>
      <c r="J32" s="6"/>
      <c r="K32" s="4"/>
      <c r="L32" s="4"/>
      <c r="M32" s="4"/>
      <c r="N32" s="4"/>
      <c r="O32" s="4" t="s">
        <v>43</v>
      </c>
      <c r="P32" s="6"/>
      <c r="Q32" s="4" t="s">
        <v>43</v>
      </c>
      <c r="R32" s="6"/>
    </row>
    <row r="33" spans="1:18" ht="30" customHeight="1" x14ac:dyDescent="0.35">
      <c r="A33" s="4">
        <v>32</v>
      </c>
      <c r="B33" s="4" t="s">
        <v>128</v>
      </c>
      <c r="C33" s="4" t="s">
        <v>145</v>
      </c>
      <c r="D33" s="5" t="s">
        <v>39</v>
      </c>
      <c r="E33" s="6">
        <v>0.5</v>
      </c>
      <c r="F33" s="4" t="s">
        <v>146</v>
      </c>
      <c r="G33" s="4" t="s">
        <v>147</v>
      </c>
      <c r="H33" s="4" t="s">
        <v>148</v>
      </c>
      <c r="I33" s="8" t="s">
        <v>47</v>
      </c>
      <c r="J33" s="6">
        <v>1</v>
      </c>
      <c r="K33" s="4"/>
      <c r="L33" s="4" t="s">
        <v>148</v>
      </c>
      <c r="M33" s="4" t="s">
        <v>148</v>
      </c>
      <c r="N33" s="4" t="s">
        <v>89</v>
      </c>
      <c r="O33" s="5" t="s">
        <v>39</v>
      </c>
      <c r="P33" s="6">
        <v>0.5</v>
      </c>
      <c r="Q33" s="8" t="s">
        <v>47</v>
      </c>
      <c r="R33" s="6">
        <v>1</v>
      </c>
    </row>
    <row r="34" spans="1:18" ht="30" customHeight="1" x14ac:dyDescent="0.35">
      <c r="A34" s="4">
        <v>33</v>
      </c>
      <c r="B34" s="4" t="s">
        <v>128</v>
      </c>
      <c r="C34" s="4" t="s">
        <v>149</v>
      </c>
      <c r="D34" s="4" t="s">
        <v>43</v>
      </c>
      <c r="E34" s="6"/>
      <c r="F34" s="4"/>
      <c r="G34" s="4"/>
      <c r="H34" s="4"/>
      <c r="I34" s="4" t="s">
        <v>43</v>
      </c>
      <c r="J34" s="6"/>
      <c r="K34" s="4"/>
      <c r="L34" s="4"/>
      <c r="M34" s="4"/>
      <c r="N34" s="4"/>
      <c r="O34" s="4" t="s">
        <v>43</v>
      </c>
      <c r="P34" s="6"/>
      <c r="Q34" s="4" t="s">
        <v>43</v>
      </c>
      <c r="R34" s="6"/>
    </row>
    <row r="35" spans="1:18" ht="30" customHeight="1" x14ac:dyDescent="0.35">
      <c r="A35" s="4">
        <v>34</v>
      </c>
      <c r="B35" s="4" t="s">
        <v>128</v>
      </c>
      <c r="C35" s="4" t="s">
        <v>150</v>
      </c>
      <c r="D35" s="5" t="s">
        <v>39</v>
      </c>
      <c r="E35" s="6">
        <v>0.73</v>
      </c>
      <c r="F35" s="4" t="s">
        <v>151</v>
      </c>
      <c r="G35" s="4" t="s">
        <v>152</v>
      </c>
      <c r="H35" s="4" t="s">
        <v>153</v>
      </c>
      <c r="I35" s="9" t="s">
        <v>75</v>
      </c>
      <c r="J35" s="6">
        <v>0.15</v>
      </c>
      <c r="K35" s="4" t="s">
        <v>154</v>
      </c>
      <c r="L35" s="4" t="s">
        <v>148</v>
      </c>
      <c r="M35" s="4" t="s">
        <v>155</v>
      </c>
      <c r="N35" s="4" t="s">
        <v>98</v>
      </c>
      <c r="O35" s="5" t="s">
        <v>39</v>
      </c>
      <c r="P35" s="6">
        <v>0.5</v>
      </c>
      <c r="Q35" s="9" t="s">
        <v>75</v>
      </c>
      <c r="R35" s="6">
        <v>0.44</v>
      </c>
    </row>
    <row r="36" spans="1:18" ht="30" customHeight="1" x14ac:dyDescent="0.35">
      <c r="A36" s="4">
        <v>35</v>
      </c>
      <c r="B36" s="4" t="s">
        <v>128</v>
      </c>
      <c r="C36" s="4" t="s">
        <v>156</v>
      </c>
      <c r="D36" s="4" t="s">
        <v>43</v>
      </c>
      <c r="E36" s="6"/>
      <c r="F36" s="4"/>
      <c r="G36" s="4"/>
      <c r="H36" s="4"/>
      <c r="I36" s="4" t="s">
        <v>43</v>
      </c>
      <c r="J36" s="6"/>
      <c r="K36" s="4"/>
      <c r="L36" s="4"/>
      <c r="M36" s="4"/>
      <c r="N36" s="4"/>
      <c r="O36" s="4" t="s">
        <v>43</v>
      </c>
      <c r="P36" s="6"/>
      <c r="Q36" s="4" t="s">
        <v>43</v>
      </c>
      <c r="R36" s="6"/>
    </row>
    <row r="37" spans="1:18" ht="30" customHeight="1" x14ac:dyDescent="0.35">
      <c r="A37" s="4">
        <v>36</v>
      </c>
      <c r="B37" s="4" t="s">
        <v>128</v>
      </c>
      <c r="C37" s="4" t="s">
        <v>157</v>
      </c>
      <c r="D37" s="4" t="s">
        <v>43</v>
      </c>
      <c r="E37" s="6"/>
      <c r="F37" s="4"/>
      <c r="G37" s="4"/>
      <c r="H37" s="4"/>
      <c r="I37" s="4" t="s">
        <v>43</v>
      </c>
      <c r="J37" s="6"/>
      <c r="K37" s="4"/>
      <c r="L37" s="4"/>
      <c r="M37" s="4"/>
      <c r="N37" s="4"/>
      <c r="O37" s="4" t="s">
        <v>43</v>
      </c>
      <c r="P37" s="6"/>
      <c r="Q37" s="4" t="s">
        <v>43</v>
      </c>
      <c r="R37" s="6"/>
    </row>
    <row r="38" spans="1:18" ht="30" customHeight="1" x14ac:dyDescent="0.35">
      <c r="A38" s="4">
        <v>37</v>
      </c>
      <c r="B38" s="4" t="s">
        <v>128</v>
      </c>
      <c r="C38" s="4" t="s">
        <v>158</v>
      </c>
      <c r="D38" s="4" t="s">
        <v>43</v>
      </c>
      <c r="E38" s="6"/>
      <c r="F38" s="4"/>
      <c r="G38" s="4"/>
      <c r="H38" s="4"/>
      <c r="I38" s="4" t="s">
        <v>43</v>
      </c>
      <c r="J38" s="6"/>
      <c r="K38" s="4"/>
      <c r="L38" s="4"/>
      <c r="M38" s="4"/>
      <c r="N38" s="4"/>
      <c r="O38" s="4" t="s">
        <v>43</v>
      </c>
      <c r="P38" s="6"/>
      <c r="Q38" s="4" t="s">
        <v>43</v>
      </c>
      <c r="R38" s="6"/>
    </row>
    <row r="39" spans="1:18" ht="30" customHeight="1" x14ac:dyDescent="0.35">
      <c r="A39" s="4">
        <v>38</v>
      </c>
      <c r="B39" s="4" t="s">
        <v>128</v>
      </c>
      <c r="C39" s="4" t="s">
        <v>159</v>
      </c>
      <c r="D39" s="4" t="s">
        <v>43</v>
      </c>
      <c r="E39" s="6"/>
      <c r="F39" s="4"/>
      <c r="G39" s="4"/>
      <c r="H39" s="4"/>
      <c r="I39" s="4" t="s">
        <v>43</v>
      </c>
      <c r="J39" s="6"/>
      <c r="K39" s="4"/>
      <c r="L39" s="4"/>
      <c r="M39" s="4"/>
      <c r="N39" s="4"/>
      <c r="O39" s="4" t="s">
        <v>43</v>
      </c>
      <c r="P39" s="6"/>
      <c r="Q39" s="4" t="s">
        <v>43</v>
      </c>
      <c r="R39" s="6"/>
    </row>
    <row r="40" spans="1:18" ht="30" customHeight="1" x14ac:dyDescent="0.35">
      <c r="A40" s="4">
        <v>39</v>
      </c>
      <c r="B40" s="4" t="s">
        <v>128</v>
      </c>
      <c r="C40" s="4" t="s">
        <v>160</v>
      </c>
      <c r="D40" s="8" t="s">
        <v>47</v>
      </c>
      <c r="E40" s="6">
        <v>1</v>
      </c>
      <c r="F40" s="4"/>
      <c r="G40" s="4" t="s">
        <v>161</v>
      </c>
      <c r="H40" s="4" t="s">
        <v>162</v>
      </c>
      <c r="I40" s="5" t="s">
        <v>39</v>
      </c>
      <c r="J40" s="6">
        <v>0.8</v>
      </c>
      <c r="K40" s="4" t="s">
        <v>163</v>
      </c>
      <c r="L40" s="4" t="s">
        <v>164</v>
      </c>
      <c r="M40" s="4" t="s">
        <v>165</v>
      </c>
      <c r="N40" s="4" t="s">
        <v>98</v>
      </c>
      <c r="O40" s="9" t="s">
        <v>75</v>
      </c>
      <c r="P40" s="6">
        <v>0.49</v>
      </c>
      <c r="Q40" s="5" t="s">
        <v>39</v>
      </c>
      <c r="R40" s="6">
        <v>0.55000000000000004</v>
      </c>
    </row>
    <row r="41" spans="1:18" ht="30" customHeight="1" x14ac:dyDescent="0.35">
      <c r="A41" s="4">
        <v>40</v>
      </c>
      <c r="B41" s="4" t="s">
        <v>128</v>
      </c>
      <c r="C41" s="4" t="s">
        <v>166</v>
      </c>
      <c r="D41" s="9" t="s">
        <v>75</v>
      </c>
      <c r="E41" s="6">
        <v>0.19</v>
      </c>
      <c r="F41" s="4" t="s">
        <v>167</v>
      </c>
      <c r="G41" s="4" t="s">
        <v>168</v>
      </c>
      <c r="H41" s="4" t="s">
        <v>169</v>
      </c>
      <c r="I41" s="5" t="s">
        <v>39</v>
      </c>
      <c r="J41" s="6">
        <v>0.83</v>
      </c>
      <c r="K41" s="4" t="s">
        <v>170</v>
      </c>
      <c r="L41" s="4" t="s">
        <v>171</v>
      </c>
      <c r="M41" s="4" t="s">
        <v>172</v>
      </c>
      <c r="N41" s="4" t="s">
        <v>89</v>
      </c>
      <c r="O41" s="9" t="s">
        <v>75</v>
      </c>
      <c r="P41" s="6">
        <v>0.22</v>
      </c>
      <c r="Q41" s="9" t="s">
        <v>75</v>
      </c>
      <c r="R41" s="6">
        <v>0.2</v>
      </c>
    </row>
    <row r="42" spans="1:18" ht="30" customHeight="1" x14ac:dyDescent="0.35">
      <c r="A42" s="4">
        <v>41</v>
      </c>
      <c r="B42" s="4" t="s">
        <v>128</v>
      </c>
      <c r="C42" s="4" t="s">
        <v>173</v>
      </c>
      <c r="D42" s="9" t="s">
        <v>75</v>
      </c>
      <c r="E42" s="6">
        <v>0.09</v>
      </c>
      <c r="F42" s="4" t="s">
        <v>174</v>
      </c>
      <c r="G42" s="4" t="s">
        <v>175</v>
      </c>
      <c r="H42" s="4" t="s">
        <v>176</v>
      </c>
      <c r="I42" s="4" t="s">
        <v>43</v>
      </c>
      <c r="J42" s="6"/>
      <c r="K42" s="4"/>
      <c r="L42" s="4"/>
      <c r="M42" s="4"/>
      <c r="N42" s="4" t="s">
        <v>44</v>
      </c>
      <c r="O42" s="7" t="s">
        <v>45</v>
      </c>
      <c r="P42" s="6"/>
      <c r="Q42" s="7" t="s">
        <v>45</v>
      </c>
      <c r="R42" s="6"/>
    </row>
    <row r="43" spans="1:18" ht="30" customHeight="1" x14ac:dyDescent="0.35">
      <c r="A43" s="4">
        <v>42</v>
      </c>
      <c r="B43" s="4" t="s">
        <v>128</v>
      </c>
      <c r="C43" s="4" t="s">
        <v>177</v>
      </c>
      <c r="D43" s="7" t="s">
        <v>50</v>
      </c>
      <c r="E43" s="6">
        <v>0</v>
      </c>
      <c r="F43" s="4" t="s">
        <v>178</v>
      </c>
      <c r="G43" s="4"/>
      <c r="H43" s="4" t="s">
        <v>179</v>
      </c>
      <c r="I43" s="4" t="s">
        <v>43</v>
      </c>
      <c r="J43" s="6"/>
      <c r="K43" s="4"/>
      <c r="L43" s="4"/>
      <c r="M43" s="4"/>
      <c r="N43" s="4" t="s">
        <v>44</v>
      </c>
      <c r="O43" s="4" t="s">
        <v>43</v>
      </c>
      <c r="P43" s="6"/>
      <c r="Q43" s="7" t="s">
        <v>45</v>
      </c>
      <c r="R43" s="6"/>
    </row>
    <row r="44" spans="1:18" ht="30" customHeight="1" x14ac:dyDescent="0.35">
      <c r="A44" s="4">
        <v>43</v>
      </c>
      <c r="B44" s="4" t="s">
        <v>128</v>
      </c>
      <c r="C44" s="4" t="s">
        <v>180</v>
      </c>
      <c r="D44" s="9" t="s">
        <v>75</v>
      </c>
      <c r="E44" s="6">
        <v>0.34</v>
      </c>
      <c r="F44" s="4" t="s">
        <v>181</v>
      </c>
      <c r="G44" s="4" t="s">
        <v>182</v>
      </c>
      <c r="H44" s="4" t="s">
        <v>183</v>
      </c>
      <c r="I44" s="4" t="s">
        <v>43</v>
      </c>
      <c r="J44" s="6"/>
      <c r="K44" s="4"/>
      <c r="L44" s="4"/>
      <c r="M44" s="4"/>
      <c r="N44" s="4" t="s">
        <v>44</v>
      </c>
      <c r="O44" s="7" t="s">
        <v>45</v>
      </c>
      <c r="P44" s="6"/>
      <c r="Q44" s="7" t="s">
        <v>45</v>
      </c>
      <c r="R44" s="6"/>
    </row>
    <row r="45" spans="1:18" ht="30" customHeight="1" x14ac:dyDescent="0.35">
      <c r="A45" s="4">
        <v>44</v>
      </c>
      <c r="B45" s="4" t="s">
        <v>128</v>
      </c>
      <c r="C45" s="4" t="s">
        <v>184</v>
      </c>
      <c r="D45" s="9" t="s">
        <v>75</v>
      </c>
      <c r="E45" s="6">
        <v>0.22</v>
      </c>
      <c r="F45" s="4" t="s">
        <v>185</v>
      </c>
      <c r="G45" s="4" t="s">
        <v>186</v>
      </c>
      <c r="H45" s="4" t="s">
        <v>187</v>
      </c>
      <c r="I45" s="4" t="s">
        <v>43</v>
      </c>
      <c r="J45" s="6"/>
      <c r="K45" s="4"/>
      <c r="L45" s="4"/>
      <c r="M45" s="4"/>
      <c r="N45" s="4" t="s">
        <v>44</v>
      </c>
      <c r="O45" s="7" t="s">
        <v>45</v>
      </c>
      <c r="P45" s="6"/>
      <c r="Q45" s="7" t="s">
        <v>45</v>
      </c>
      <c r="R45" s="6"/>
    </row>
    <row r="46" spans="1:18" ht="30" customHeight="1" x14ac:dyDescent="0.35">
      <c r="A46" s="4">
        <v>45</v>
      </c>
      <c r="B46" s="4" t="s">
        <v>128</v>
      </c>
      <c r="C46" s="4" t="s">
        <v>188</v>
      </c>
      <c r="D46" s="8" t="s">
        <v>47</v>
      </c>
      <c r="E46" s="6">
        <v>1</v>
      </c>
      <c r="F46" s="4"/>
      <c r="G46" s="4" t="s">
        <v>189</v>
      </c>
      <c r="H46" s="4" t="s">
        <v>190</v>
      </c>
      <c r="I46" s="4" t="s">
        <v>43</v>
      </c>
      <c r="J46" s="6"/>
      <c r="K46" s="4"/>
      <c r="L46" s="4"/>
      <c r="M46" s="4"/>
      <c r="N46" s="4" t="s">
        <v>44</v>
      </c>
      <c r="O46" s="7" t="s">
        <v>45</v>
      </c>
      <c r="P46" s="6"/>
      <c r="Q46" s="7" t="s">
        <v>45</v>
      </c>
      <c r="R46" s="6"/>
    </row>
    <row r="47" spans="1:18" ht="30" customHeight="1" x14ac:dyDescent="0.35">
      <c r="A47" s="4">
        <v>46</v>
      </c>
      <c r="B47" s="4" t="s">
        <v>128</v>
      </c>
      <c r="C47" s="4" t="s">
        <v>191</v>
      </c>
      <c r="D47" s="4" t="s">
        <v>43</v>
      </c>
      <c r="E47" s="6"/>
      <c r="F47" s="4"/>
      <c r="G47" s="4"/>
      <c r="H47" s="4"/>
      <c r="I47" s="4" t="s">
        <v>43</v>
      </c>
      <c r="J47" s="6"/>
      <c r="K47" s="4"/>
      <c r="L47" s="4"/>
      <c r="M47" s="4"/>
      <c r="N47" s="4"/>
      <c r="O47" s="4" t="s">
        <v>43</v>
      </c>
      <c r="P47" s="6"/>
      <c r="Q47" s="4" t="s">
        <v>43</v>
      </c>
      <c r="R47" s="6"/>
    </row>
    <row r="48" spans="1:18" ht="30" customHeight="1" x14ac:dyDescent="0.35">
      <c r="A48" s="4">
        <v>47</v>
      </c>
      <c r="B48" s="4" t="s">
        <v>128</v>
      </c>
      <c r="C48" s="4" t="s">
        <v>192</v>
      </c>
      <c r="D48" s="4" t="s">
        <v>43</v>
      </c>
      <c r="E48" s="6"/>
      <c r="F48" s="4"/>
      <c r="G48" s="4"/>
      <c r="H48" s="4"/>
      <c r="I48" s="4" t="s">
        <v>43</v>
      </c>
      <c r="J48" s="6"/>
      <c r="K48" s="4"/>
      <c r="L48" s="4"/>
      <c r="M48" s="4"/>
      <c r="N48" s="4"/>
      <c r="O48" s="4" t="s">
        <v>43</v>
      </c>
      <c r="P48" s="6"/>
      <c r="Q48" s="4" t="s">
        <v>43</v>
      </c>
      <c r="R48" s="6"/>
    </row>
    <row r="49" spans="1:18" ht="30" customHeight="1" x14ac:dyDescent="0.35">
      <c r="A49" s="4">
        <v>48</v>
      </c>
      <c r="B49" s="4" t="s">
        <v>128</v>
      </c>
      <c r="C49" s="4" t="s">
        <v>193</v>
      </c>
      <c r="D49" s="4" t="s">
        <v>43</v>
      </c>
      <c r="E49" s="6"/>
      <c r="F49" s="4"/>
      <c r="G49" s="4"/>
      <c r="H49" s="4"/>
      <c r="I49" s="4" t="s">
        <v>43</v>
      </c>
      <c r="J49" s="6"/>
      <c r="K49" s="4"/>
      <c r="L49" s="4"/>
      <c r="M49" s="4"/>
      <c r="N49" s="4"/>
      <c r="O49" s="4" t="s">
        <v>43</v>
      </c>
      <c r="P49" s="6"/>
      <c r="Q49" s="4" t="s">
        <v>43</v>
      </c>
      <c r="R49" s="6"/>
    </row>
    <row r="50" spans="1:18" ht="30" customHeight="1" x14ac:dyDescent="0.35">
      <c r="A50" s="4">
        <v>49</v>
      </c>
      <c r="B50" s="4" t="s">
        <v>128</v>
      </c>
      <c r="C50" s="4" t="s">
        <v>194</v>
      </c>
      <c r="D50" s="4" t="s">
        <v>43</v>
      </c>
      <c r="E50" s="6"/>
      <c r="F50" s="4"/>
      <c r="G50" s="4"/>
      <c r="H50" s="4"/>
      <c r="I50" s="4" t="s">
        <v>43</v>
      </c>
      <c r="J50" s="6"/>
      <c r="K50" s="4"/>
      <c r="L50" s="4"/>
      <c r="M50" s="4"/>
      <c r="N50" s="4"/>
      <c r="O50" s="4" t="s">
        <v>43</v>
      </c>
      <c r="P50" s="6"/>
      <c r="Q50" s="4" t="s">
        <v>43</v>
      </c>
      <c r="R50" s="6"/>
    </row>
    <row r="51" spans="1:18" ht="30" customHeight="1" x14ac:dyDescent="0.35">
      <c r="A51" s="4">
        <v>50</v>
      </c>
      <c r="B51" s="4" t="s">
        <v>195</v>
      </c>
      <c r="C51" s="4" t="s">
        <v>196</v>
      </c>
      <c r="D51" s="5" t="s">
        <v>39</v>
      </c>
      <c r="E51" s="6">
        <v>0.92</v>
      </c>
      <c r="F51" s="4" t="s">
        <v>197</v>
      </c>
      <c r="G51" s="4" t="s">
        <v>198</v>
      </c>
      <c r="H51" s="4" t="s">
        <v>199</v>
      </c>
      <c r="I51" s="5" t="s">
        <v>39</v>
      </c>
      <c r="J51" s="6">
        <v>0.75</v>
      </c>
      <c r="K51" s="4" t="s">
        <v>200</v>
      </c>
      <c r="L51" s="4" t="s">
        <v>201</v>
      </c>
      <c r="M51" s="4" t="s">
        <v>202</v>
      </c>
      <c r="N51" s="4" t="s">
        <v>98</v>
      </c>
      <c r="O51" s="5" t="s">
        <v>39</v>
      </c>
      <c r="P51" s="6">
        <v>0.74</v>
      </c>
      <c r="Q51" s="5" t="s">
        <v>39</v>
      </c>
      <c r="R51" s="6">
        <v>0.56999999999999995</v>
      </c>
    </row>
    <row r="52" spans="1:18" ht="30" customHeight="1" x14ac:dyDescent="0.35">
      <c r="A52" s="4">
        <v>51</v>
      </c>
      <c r="B52" s="4" t="s">
        <v>195</v>
      </c>
      <c r="C52" s="4" t="s">
        <v>203</v>
      </c>
      <c r="D52" s="5" t="s">
        <v>39</v>
      </c>
      <c r="E52" s="6">
        <v>0.67</v>
      </c>
      <c r="F52" s="4" t="s">
        <v>204</v>
      </c>
      <c r="G52" s="4" t="s">
        <v>205</v>
      </c>
      <c r="H52" s="4" t="s">
        <v>206</v>
      </c>
      <c r="I52" s="5" t="s">
        <v>39</v>
      </c>
      <c r="J52" s="6">
        <v>0.72</v>
      </c>
      <c r="K52" s="4" t="s">
        <v>207</v>
      </c>
      <c r="L52" s="4" t="s">
        <v>208</v>
      </c>
      <c r="M52" s="4" t="s">
        <v>209</v>
      </c>
      <c r="N52" s="4" t="s">
        <v>89</v>
      </c>
      <c r="O52" s="5" t="s">
        <v>39</v>
      </c>
      <c r="P52" s="6">
        <v>0.53</v>
      </c>
      <c r="Q52" s="5" t="s">
        <v>39</v>
      </c>
      <c r="R52" s="6">
        <v>0.75</v>
      </c>
    </row>
    <row r="53" spans="1:18" ht="30" customHeight="1" x14ac:dyDescent="0.35">
      <c r="A53" s="4">
        <v>52</v>
      </c>
      <c r="B53" s="4" t="s">
        <v>195</v>
      </c>
      <c r="C53" s="4" t="s">
        <v>210</v>
      </c>
      <c r="D53" s="8" t="s">
        <v>47</v>
      </c>
      <c r="E53" s="6">
        <v>1</v>
      </c>
      <c r="F53" s="4"/>
      <c r="G53" s="4" t="s">
        <v>211</v>
      </c>
      <c r="H53" s="4" t="s">
        <v>211</v>
      </c>
      <c r="I53" s="5" t="s">
        <v>39</v>
      </c>
      <c r="J53" s="6">
        <v>0.8</v>
      </c>
      <c r="K53" s="4" t="s">
        <v>212</v>
      </c>
      <c r="L53" s="4" t="s">
        <v>213</v>
      </c>
      <c r="M53" s="4" t="s">
        <v>214</v>
      </c>
      <c r="N53" s="4" t="s">
        <v>98</v>
      </c>
      <c r="O53" s="5" t="s">
        <v>39</v>
      </c>
      <c r="P53" s="6">
        <v>0.59</v>
      </c>
      <c r="Q53" s="5" t="s">
        <v>39</v>
      </c>
      <c r="R53" s="6">
        <v>0.98</v>
      </c>
    </row>
    <row r="54" spans="1:18" ht="30" customHeight="1" x14ac:dyDescent="0.35">
      <c r="A54" s="4">
        <v>53</v>
      </c>
      <c r="B54" s="4" t="s">
        <v>195</v>
      </c>
      <c r="C54" s="4" t="s">
        <v>215</v>
      </c>
      <c r="D54" s="8" t="s">
        <v>47</v>
      </c>
      <c r="E54" s="6">
        <v>1</v>
      </c>
      <c r="F54" s="4"/>
      <c r="G54" s="4" t="s">
        <v>216</v>
      </c>
      <c r="H54" s="4" t="s">
        <v>216</v>
      </c>
      <c r="I54" s="4" t="s">
        <v>43</v>
      </c>
      <c r="J54" s="6"/>
      <c r="K54" s="4"/>
      <c r="L54" s="4"/>
      <c r="M54" s="4"/>
      <c r="N54" s="4" t="s">
        <v>44</v>
      </c>
      <c r="O54" s="7" t="s">
        <v>45</v>
      </c>
      <c r="P54" s="6"/>
      <c r="Q54" s="7" t="s">
        <v>45</v>
      </c>
      <c r="R54" s="6"/>
    </row>
    <row r="55" spans="1:18" ht="30" customHeight="1" x14ac:dyDescent="0.35">
      <c r="A55" s="4">
        <v>54</v>
      </c>
      <c r="B55" s="4" t="s">
        <v>195</v>
      </c>
      <c r="C55" s="4" t="s">
        <v>217</v>
      </c>
      <c r="D55" s="8" t="s">
        <v>47</v>
      </c>
      <c r="E55" s="6">
        <v>1</v>
      </c>
      <c r="F55" s="4"/>
      <c r="G55" s="4" t="s">
        <v>218</v>
      </c>
      <c r="H55" s="4" t="s">
        <v>219</v>
      </c>
      <c r="I55" s="4" t="s">
        <v>43</v>
      </c>
      <c r="J55" s="6"/>
      <c r="K55" s="4"/>
      <c r="L55" s="4"/>
      <c r="M55" s="4"/>
      <c r="N55" s="4" t="s">
        <v>44</v>
      </c>
      <c r="O55" s="7" t="s">
        <v>45</v>
      </c>
      <c r="P55" s="6"/>
      <c r="Q55" s="7" t="s">
        <v>45</v>
      </c>
      <c r="R55" s="6"/>
    </row>
    <row r="56" spans="1:18" ht="30" customHeight="1" x14ac:dyDescent="0.35">
      <c r="A56" s="4">
        <v>55</v>
      </c>
      <c r="B56" s="4" t="s">
        <v>195</v>
      </c>
      <c r="C56" s="4" t="s">
        <v>220</v>
      </c>
      <c r="D56" s="4" t="s">
        <v>43</v>
      </c>
      <c r="E56" s="6"/>
      <c r="F56" s="4"/>
      <c r="G56" s="4"/>
      <c r="H56" s="4"/>
      <c r="I56" s="4" t="s">
        <v>43</v>
      </c>
      <c r="J56" s="6"/>
      <c r="K56" s="4"/>
      <c r="L56" s="4"/>
      <c r="M56" s="4"/>
      <c r="N56" s="4"/>
      <c r="O56" s="4" t="s">
        <v>43</v>
      </c>
      <c r="P56" s="6"/>
      <c r="Q56" s="4" t="s">
        <v>43</v>
      </c>
      <c r="R56" s="6"/>
    </row>
    <row r="57" spans="1:18" ht="30" customHeight="1" x14ac:dyDescent="0.35">
      <c r="A57" s="4">
        <v>56</v>
      </c>
      <c r="B57" s="4" t="s">
        <v>195</v>
      </c>
      <c r="C57" s="4" t="s">
        <v>221</v>
      </c>
      <c r="D57" s="8" t="s">
        <v>47</v>
      </c>
      <c r="E57" s="6">
        <v>1</v>
      </c>
      <c r="F57" s="4"/>
      <c r="G57" s="4" t="s">
        <v>222</v>
      </c>
      <c r="H57" s="4" t="s">
        <v>222</v>
      </c>
      <c r="I57" s="4" t="s">
        <v>43</v>
      </c>
      <c r="J57" s="6"/>
      <c r="K57" s="4"/>
      <c r="L57" s="4"/>
      <c r="M57" s="4"/>
      <c r="N57" s="4" t="s">
        <v>44</v>
      </c>
      <c r="O57" s="7" t="s">
        <v>45</v>
      </c>
      <c r="P57" s="6"/>
      <c r="Q57" s="7" t="s">
        <v>45</v>
      </c>
      <c r="R57" s="6"/>
    </row>
    <row r="58" spans="1:18" ht="30" customHeight="1" x14ac:dyDescent="0.35">
      <c r="A58" s="4">
        <v>57</v>
      </c>
      <c r="B58" s="4" t="s">
        <v>195</v>
      </c>
      <c r="C58" s="4" t="s">
        <v>223</v>
      </c>
      <c r="D58" s="4" t="s">
        <v>43</v>
      </c>
      <c r="E58" s="6"/>
      <c r="F58" s="4"/>
      <c r="G58" s="4"/>
      <c r="H58" s="4"/>
      <c r="I58" s="4" t="s">
        <v>43</v>
      </c>
      <c r="J58" s="6"/>
      <c r="K58" s="4"/>
      <c r="L58" s="4"/>
      <c r="M58" s="4"/>
      <c r="N58" s="4"/>
      <c r="O58" s="4" t="s">
        <v>43</v>
      </c>
      <c r="P58" s="6"/>
      <c r="Q58" s="4" t="s">
        <v>43</v>
      </c>
      <c r="R58" s="6"/>
    </row>
    <row r="59" spans="1:18" ht="30" customHeight="1" x14ac:dyDescent="0.35">
      <c r="A59" s="4">
        <v>58</v>
      </c>
      <c r="B59" s="4" t="s">
        <v>195</v>
      </c>
      <c r="C59" s="4" t="s">
        <v>224</v>
      </c>
      <c r="D59" s="4" t="s">
        <v>43</v>
      </c>
      <c r="E59" s="6"/>
      <c r="F59" s="4"/>
      <c r="G59" s="4"/>
      <c r="H59" s="4"/>
      <c r="I59" s="4" t="s">
        <v>43</v>
      </c>
      <c r="J59" s="6"/>
      <c r="K59" s="4"/>
      <c r="L59" s="4"/>
      <c r="M59" s="4"/>
      <c r="N59" s="4"/>
      <c r="O59" s="4" t="s">
        <v>43</v>
      </c>
      <c r="P59" s="6"/>
      <c r="Q59" s="4" t="s">
        <v>43</v>
      </c>
      <c r="R59" s="6"/>
    </row>
    <row r="60" spans="1:18" ht="30" customHeight="1" x14ac:dyDescent="0.35">
      <c r="A60" s="4">
        <v>59</v>
      </c>
      <c r="B60" s="4" t="s">
        <v>195</v>
      </c>
      <c r="C60" s="4" t="s">
        <v>225</v>
      </c>
      <c r="D60" s="4" t="s">
        <v>43</v>
      </c>
      <c r="E60" s="6"/>
      <c r="F60" s="4"/>
      <c r="G60" s="4"/>
      <c r="H60" s="4"/>
      <c r="I60" s="4" t="s">
        <v>43</v>
      </c>
      <c r="J60" s="6"/>
      <c r="K60" s="4"/>
      <c r="L60" s="4"/>
      <c r="M60" s="4"/>
      <c r="N60" s="4"/>
      <c r="O60" s="4" t="s">
        <v>43</v>
      </c>
      <c r="P60" s="6"/>
      <c r="Q60" s="4" t="s">
        <v>43</v>
      </c>
      <c r="R60" s="6"/>
    </row>
    <row r="61" spans="1:18" ht="30" customHeight="1" x14ac:dyDescent="0.35">
      <c r="A61" s="4">
        <v>60</v>
      </c>
      <c r="B61" s="4" t="s">
        <v>195</v>
      </c>
      <c r="C61" s="4" t="s">
        <v>226</v>
      </c>
      <c r="D61" s="4" t="s">
        <v>43</v>
      </c>
      <c r="E61" s="6"/>
      <c r="F61" s="4"/>
      <c r="G61" s="4"/>
      <c r="H61" s="4"/>
      <c r="I61" s="4" t="s">
        <v>43</v>
      </c>
      <c r="J61" s="6"/>
      <c r="K61" s="4"/>
      <c r="L61" s="4"/>
      <c r="M61" s="4"/>
      <c r="N61" s="4"/>
      <c r="O61" s="4" t="s">
        <v>43</v>
      </c>
      <c r="P61" s="6"/>
      <c r="Q61" s="4" t="s">
        <v>43</v>
      </c>
      <c r="R61" s="6"/>
    </row>
    <row r="62" spans="1:18" ht="30" customHeight="1" x14ac:dyDescent="0.35">
      <c r="A62" s="4">
        <v>61</v>
      </c>
      <c r="B62" s="4" t="s">
        <v>195</v>
      </c>
      <c r="C62" s="4" t="s">
        <v>227</v>
      </c>
      <c r="D62" s="4" t="s">
        <v>43</v>
      </c>
      <c r="E62" s="6"/>
      <c r="F62" s="4"/>
      <c r="G62" s="4"/>
      <c r="H62" s="4"/>
      <c r="I62" s="4" t="s">
        <v>43</v>
      </c>
      <c r="J62" s="6"/>
      <c r="K62" s="4"/>
      <c r="L62" s="4"/>
      <c r="M62" s="4"/>
      <c r="N62" s="4"/>
      <c r="O62" s="4" t="s">
        <v>43</v>
      </c>
      <c r="P62" s="6"/>
      <c r="Q62" s="4" t="s">
        <v>43</v>
      </c>
      <c r="R62" s="6"/>
    </row>
    <row r="63" spans="1:18" ht="30" customHeight="1" x14ac:dyDescent="0.35">
      <c r="A63" s="4">
        <v>62</v>
      </c>
      <c r="B63" s="4" t="s">
        <v>195</v>
      </c>
      <c r="C63" s="4" t="s">
        <v>228</v>
      </c>
      <c r="D63" s="4" t="s">
        <v>43</v>
      </c>
      <c r="E63" s="6"/>
      <c r="F63" s="4"/>
      <c r="G63" s="4"/>
      <c r="H63" s="4"/>
      <c r="I63" s="4" t="s">
        <v>43</v>
      </c>
      <c r="J63" s="6"/>
      <c r="K63" s="4"/>
      <c r="L63" s="4"/>
      <c r="M63" s="4"/>
      <c r="N63" s="4"/>
      <c r="O63" s="4" t="s">
        <v>43</v>
      </c>
      <c r="P63" s="6"/>
      <c r="Q63" s="4" t="s">
        <v>43</v>
      </c>
      <c r="R63" s="6"/>
    </row>
    <row r="64" spans="1:18" ht="30" customHeight="1" x14ac:dyDescent="0.35">
      <c r="A64" s="4">
        <v>63</v>
      </c>
      <c r="B64" s="4" t="s">
        <v>195</v>
      </c>
      <c r="C64" s="4" t="s">
        <v>229</v>
      </c>
      <c r="D64" s="4" t="s">
        <v>43</v>
      </c>
      <c r="E64" s="6"/>
      <c r="F64" s="4"/>
      <c r="G64" s="4"/>
      <c r="H64" s="4"/>
      <c r="I64" s="4" t="s">
        <v>43</v>
      </c>
      <c r="J64" s="6"/>
      <c r="K64" s="4"/>
      <c r="L64" s="4"/>
      <c r="M64" s="4"/>
      <c r="N64" s="4"/>
      <c r="O64" s="4" t="s">
        <v>43</v>
      </c>
      <c r="P64" s="6"/>
      <c r="Q64" s="4" t="s">
        <v>43</v>
      </c>
      <c r="R64" s="6"/>
    </row>
    <row r="65" spans="1:18" ht="30" customHeight="1" x14ac:dyDescent="0.35">
      <c r="A65" s="4">
        <v>64</v>
      </c>
      <c r="B65" s="4" t="s">
        <v>195</v>
      </c>
      <c r="C65" s="4" t="s">
        <v>230</v>
      </c>
      <c r="D65" s="4" t="s">
        <v>43</v>
      </c>
      <c r="E65" s="6"/>
      <c r="F65" s="4"/>
      <c r="G65" s="4"/>
      <c r="H65" s="4"/>
      <c r="I65" s="4" t="s">
        <v>43</v>
      </c>
      <c r="J65" s="6"/>
      <c r="K65" s="4"/>
      <c r="L65" s="4"/>
      <c r="M65" s="4"/>
      <c r="N65" s="4"/>
      <c r="O65" s="4" t="s">
        <v>43</v>
      </c>
      <c r="P65" s="6"/>
      <c r="Q65" s="4" t="s">
        <v>43</v>
      </c>
      <c r="R65" s="6"/>
    </row>
    <row r="66" spans="1:18" ht="30" customHeight="1" x14ac:dyDescent="0.35">
      <c r="A66" s="4">
        <v>65</v>
      </c>
      <c r="B66" s="4" t="s">
        <v>195</v>
      </c>
      <c r="C66" s="4" t="s">
        <v>231</v>
      </c>
      <c r="D66" s="4" t="s">
        <v>43</v>
      </c>
      <c r="E66" s="6"/>
      <c r="F66" s="4"/>
      <c r="G66" s="4"/>
      <c r="H66" s="4"/>
      <c r="I66" s="4" t="s">
        <v>43</v>
      </c>
      <c r="J66" s="6"/>
      <c r="K66" s="4"/>
      <c r="L66" s="4"/>
      <c r="M66" s="4"/>
      <c r="N66" s="4"/>
      <c r="O66" s="4" t="s">
        <v>43</v>
      </c>
      <c r="P66" s="6"/>
      <c r="Q66" s="4" t="s">
        <v>43</v>
      </c>
      <c r="R66" s="6"/>
    </row>
    <row r="67" spans="1:18" ht="30" customHeight="1" x14ac:dyDescent="0.35">
      <c r="A67" s="4">
        <v>66</v>
      </c>
      <c r="B67" s="4" t="s">
        <v>195</v>
      </c>
      <c r="C67" s="4" t="s">
        <v>232</v>
      </c>
      <c r="D67" s="4" t="s">
        <v>43</v>
      </c>
      <c r="E67" s="6"/>
      <c r="F67" s="4"/>
      <c r="G67" s="4"/>
      <c r="H67" s="4"/>
      <c r="I67" s="4" t="s">
        <v>43</v>
      </c>
      <c r="J67" s="6"/>
      <c r="K67" s="4"/>
      <c r="L67" s="4"/>
      <c r="M67" s="4"/>
      <c r="N67" s="4"/>
      <c r="O67" s="4" t="s">
        <v>43</v>
      </c>
      <c r="P67" s="6"/>
      <c r="Q67" s="4" t="s">
        <v>43</v>
      </c>
      <c r="R67" s="6"/>
    </row>
    <row r="68" spans="1:18" ht="30" customHeight="1" x14ac:dyDescent="0.35">
      <c r="A68" s="4">
        <v>67</v>
      </c>
      <c r="B68" s="4" t="s">
        <v>195</v>
      </c>
      <c r="C68" s="4" t="s">
        <v>233</v>
      </c>
      <c r="D68" s="4" t="s">
        <v>43</v>
      </c>
      <c r="E68" s="6"/>
      <c r="F68" s="4"/>
      <c r="G68" s="4"/>
      <c r="H68" s="4"/>
      <c r="I68" s="4" t="s">
        <v>43</v>
      </c>
      <c r="J68" s="6"/>
      <c r="K68" s="4"/>
      <c r="L68" s="4"/>
      <c r="M68" s="4"/>
      <c r="N68" s="4"/>
      <c r="O68" s="4" t="s">
        <v>43</v>
      </c>
      <c r="P68" s="6"/>
      <c r="Q68" s="4" t="s">
        <v>43</v>
      </c>
      <c r="R68" s="6"/>
    </row>
    <row r="69" spans="1:18" ht="30" customHeight="1" x14ac:dyDescent="0.35">
      <c r="A69" s="4">
        <v>68</v>
      </c>
      <c r="B69" s="4" t="s">
        <v>195</v>
      </c>
      <c r="C69" s="4" t="s">
        <v>234</v>
      </c>
      <c r="D69" s="4" t="s">
        <v>43</v>
      </c>
      <c r="E69" s="6"/>
      <c r="F69" s="4"/>
      <c r="G69" s="4"/>
      <c r="H69" s="4"/>
      <c r="I69" s="4" t="s">
        <v>43</v>
      </c>
      <c r="J69" s="6"/>
      <c r="K69" s="4"/>
      <c r="L69" s="4"/>
      <c r="M69" s="4"/>
      <c r="N69" s="4"/>
      <c r="O69" s="4" t="s">
        <v>43</v>
      </c>
      <c r="P69" s="6"/>
      <c r="Q69" s="4" t="s">
        <v>43</v>
      </c>
      <c r="R69" s="6"/>
    </row>
    <row r="70" spans="1:18" ht="30" customHeight="1" x14ac:dyDescent="0.35">
      <c r="A70" s="4">
        <v>69</v>
      </c>
      <c r="B70" s="4" t="s">
        <v>195</v>
      </c>
      <c r="C70" s="4" t="s">
        <v>235</v>
      </c>
      <c r="D70" s="4" t="s">
        <v>43</v>
      </c>
      <c r="E70" s="6"/>
      <c r="F70" s="4"/>
      <c r="G70" s="4"/>
      <c r="H70" s="4"/>
      <c r="I70" s="4" t="s">
        <v>43</v>
      </c>
      <c r="J70" s="6"/>
      <c r="K70" s="4"/>
      <c r="L70" s="4"/>
      <c r="M70" s="4"/>
      <c r="N70" s="4"/>
      <c r="O70" s="4" t="s">
        <v>43</v>
      </c>
      <c r="P70" s="6"/>
      <c r="Q70" s="4" t="s">
        <v>43</v>
      </c>
      <c r="R70" s="6"/>
    </row>
    <row r="71" spans="1:18" ht="30" customHeight="1" x14ac:dyDescent="0.35">
      <c r="A71" s="4">
        <v>70</v>
      </c>
      <c r="B71" s="4" t="s">
        <v>195</v>
      </c>
      <c r="C71" s="4" t="s">
        <v>236</v>
      </c>
      <c r="D71" s="4" t="s">
        <v>43</v>
      </c>
      <c r="E71" s="6"/>
      <c r="F71" s="4"/>
      <c r="G71" s="4"/>
      <c r="H71" s="4"/>
      <c r="I71" s="4" t="s">
        <v>43</v>
      </c>
      <c r="J71" s="6"/>
      <c r="K71" s="4"/>
      <c r="L71" s="4"/>
      <c r="M71" s="4"/>
      <c r="N71" s="4"/>
      <c r="O71" s="4" t="s">
        <v>43</v>
      </c>
      <c r="P71" s="6"/>
      <c r="Q71" s="4" t="s">
        <v>43</v>
      </c>
      <c r="R71" s="6"/>
    </row>
    <row r="72" spans="1:18" ht="30" customHeight="1" x14ac:dyDescent="0.35">
      <c r="A72" s="4">
        <v>71</v>
      </c>
      <c r="B72" s="4" t="s">
        <v>195</v>
      </c>
      <c r="C72" s="4" t="s">
        <v>237</v>
      </c>
      <c r="D72" s="4" t="s">
        <v>43</v>
      </c>
      <c r="E72" s="6"/>
      <c r="F72" s="4"/>
      <c r="G72" s="4"/>
      <c r="H72" s="4"/>
      <c r="I72" s="4" t="s">
        <v>43</v>
      </c>
      <c r="J72" s="6"/>
      <c r="K72" s="4"/>
      <c r="L72" s="4"/>
      <c r="M72" s="4"/>
      <c r="N72" s="4"/>
      <c r="O72" s="4" t="s">
        <v>43</v>
      </c>
      <c r="P72" s="6"/>
      <c r="Q72" s="4" t="s">
        <v>43</v>
      </c>
      <c r="R72" s="6"/>
    </row>
    <row r="73" spans="1:18" ht="30" customHeight="1" x14ac:dyDescent="0.35">
      <c r="A73" s="4">
        <v>72</v>
      </c>
      <c r="B73" s="4" t="s">
        <v>195</v>
      </c>
      <c r="C73" s="4" t="s">
        <v>238</v>
      </c>
      <c r="D73" s="4" t="s">
        <v>43</v>
      </c>
      <c r="E73" s="6"/>
      <c r="F73" s="4"/>
      <c r="G73" s="4"/>
      <c r="H73" s="4"/>
      <c r="I73" s="4" t="s">
        <v>43</v>
      </c>
      <c r="J73" s="6"/>
      <c r="K73" s="4"/>
      <c r="L73" s="4"/>
      <c r="M73" s="4"/>
      <c r="N73" s="4"/>
      <c r="O73" s="4" t="s">
        <v>43</v>
      </c>
      <c r="P73" s="6"/>
      <c r="Q73" s="4" t="s">
        <v>43</v>
      </c>
      <c r="R73" s="6"/>
    </row>
    <row r="74" spans="1:18" ht="30" customHeight="1" x14ac:dyDescent="0.35">
      <c r="A74" s="4">
        <v>73</v>
      </c>
      <c r="B74" s="4" t="s">
        <v>195</v>
      </c>
      <c r="C74" s="4" t="s">
        <v>239</v>
      </c>
      <c r="D74" s="4" t="s">
        <v>43</v>
      </c>
      <c r="E74" s="6"/>
      <c r="F74" s="4"/>
      <c r="G74" s="4"/>
      <c r="H74" s="4"/>
      <c r="I74" s="4" t="s">
        <v>43</v>
      </c>
      <c r="J74" s="6"/>
      <c r="K74" s="4"/>
      <c r="L74" s="4"/>
      <c r="M74" s="4"/>
      <c r="N74" s="4"/>
      <c r="O74" s="4" t="s">
        <v>43</v>
      </c>
      <c r="P74" s="6"/>
      <c r="Q74" s="4" t="s">
        <v>43</v>
      </c>
      <c r="R74" s="6"/>
    </row>
    <row r="75" spans="1:18" ht="30" customHeight="1" x14ac:dyDescent="0.35">
      <c r="A75" s="4">
        <v>74</v>
      </c>
      <c r="B75" s="4" t="s">
        <v>195</v>
      </c>
      <c r="C75" s="4" t="s">
        <v>240</v>
      </c>
      <c r="D75" s="8" t="s">
        <v>47</v>
      </c>
      <c r="E75" s="6">
        <v>1</v>
      </c>
      <c r="F75" s="4"/>
      <c r="G75" s="4" t="s">
        <v>241</v>
      </c>
      <c r="H75" s="4" t="s">
        <v>241</v>
      </c>
      <c r="I75" s="4" t="s">
        <v>43</v>
      </c>
      <c r="J75" s="6"/>
      <c r="K75" s="4"/>
      <c r="L75" s="4"/>
      <c r="M75" s="4"/>
      <c r="N75" s="4" t="s">
        <v>44</v>
      </c>
      <c r="O75" s="7" t="s">
        <v>45</v>
      </c>
      <c r="P75" s="6"/>
      <c r="Q75" s="7" t="s">
        <v>45</v>
      </c>
      <c r="R75" s="6"/>
    </row>
    <row r="76" spans="1:18" ht="30" customHeight="1" x14ac:dyDescent="0.35">
      <c r="A76" s="4">
        <v>75</v>
      </c>
      <c r="B76" s="4" t="s">
        <v>242</v>
      </c>
      <c r="C76" s="4" t="s">
        <v>243</v>
      </c>
      <c r="D76" s="8" t="s">
        <v>47</v>
      </c>
      <c r="E76" s="6">
        <v>1</v>
      </c>
      <c r="F76" s="4"/>
      <c r="G76" s="4" t="s">
        <v>244</v>
      </c>
      <c r="H76" s="4" t="s">
        <v>244</v>
      </c>
      <c r="I76" s="4" t="s">
        <v>43</v>
      </c>
      <c r="J76" s="6"/>
      <c r="K76" s="4"/>
      <c r="L76" s="4"/>
      <c r="M76" s="4"/>
      <c r="N76" s="4" t="s">
        <v>44</v>
      </c>
      <c r="O76" s="7" t="s">
        <v>45</v>
      </c>
      <c r="P76" s="6"/>
      <c r="Q76" s="7" t="s">
        <v>45</v>
      </c>
      <c r="R76" s="6"/>
    </row>
    <row r="77" spans="1:18" ht="30" customHeight="1" x14ac:dyDescent="0.35">
      <c r="A77" s="4">
        <v>76</v>
      </c>
      <c r="B77" s="4" t="s">
        <v>242</v>
      </c>
      <c r="C77" s="4" t="s">
        <v>245</v>
      </c>
      <c r="D77" s="4" t="s">
        <v>43</v>
      </c>
      <c r="E77" s="6"/>
      <c r="F77" s="4"/>
      <c r="G77" s="4"/>
      <c r="H77" s="4"/>
      <c r="I77" s="4" t="s">
        <v>43</v>
      </c>
      <c r="J77" s="6"/>
      <c r="K77" s="4"/>
      <c r="L77" s="4"/>
      <c r="M77" s="4"/>
      <c r="N77" s="4"/>
      <c r="O77" s="4" t="s">
        <v>43</v>
      </c>
      <c r="P77" s="6"/>
      <c r="Q77" s="4" t="s">
        <v>43</v>
      </c>
      <c r="R77" s="6"/>
    </row>
    <row r="78" spans="1:18" ht="30" customHeight="1" x14ac:dyDescent="0.35">
      <c r="A78" s="4">
        <v>77</v>
      </c>
      <c r="B78" s="4" t="s">
        <v>242</v>
      </c>
      <c r="C78" s="4" t="s">
        <v>246</v>
      </c>
      <c r="D78" s="4" t="s">
        <v>43</v>
      </c>
      <c r="E78" s="6"/>
      <c r="F78" s="4"/>
      <c r="G78" s="4"/>
      <c r="H78" s="4"/>
      <c r="I78" s="4" t="s">
        <v>43</v>
      </c>
      <c r="J78" s="6"/>
      <c r="K78" s="4"/>
      <c r="L78" s="4"/>
      <c r="M78" s="4"/>
      <c r="N78" s="4"/>
      <c r="O78" s="4" t="s">
        <v>43</v>
      </c>
      <c r="P78" s="6"/>
      <c r="Q78" s="4" t="s">
        <v>43</v>
      </c>
      <c r="R78" s="6"/>
    </row>
    <row r="79" spans="1:18" ht="30" customHeight="1" x14ac:dyDescent="0.35">
      <c r="A79" s="4">
        <v>78</v>
      </c>
      <c r="B79" s="4" t="s">
        <v>242</v>
      </c>
      <c r="C79" s="4" t="s">
        <v>247</v>
      </c>
      <c r="D79" s="4" t="s">
        <v>43</v>
      </c>
      <c r="E79" s="6"/>
      <c r="F79" s="4"/>
      <c r="G79" s="4"/>
      <c r="H79" s="4"/>
      <c r="I79" s="4" t="s">
        <v>43</v>
      </c>
      <c r="J79" s="6"/>
      <c r="K79" s="4"/>
      <c r="L79" s="4"/>
      <c r="M79" s="4"/>
      <c r="N79" s="4"/>
      <c r="O79" s="4" t="s">
        <v>43</v>
      </c>
      <c r="P79" s="6"/>
      <c r="Q79" s="4" t="s">
        <v>43</v>
      </c>
      <c r="R79" s="6"/>
    </row>
    <row r="80" spans="1:18" ht="30" customHeight="1" x14ac:dyDescent="0.35">
      <c r="A80" s="4">
        <v>79</v>
      </c>
      <c r="B80" s="4" t="s">
        <v>242</v>
      </c>
      <c r="C80" s="4" t="s">
        <v>248</v>
      </c>
      <c r="D80" s="4" t="s">
        <v>43</v>
      </c>
      <c r="E80" s="6"/>
      <c r="F80" s="4"/>
      <c r="G80" s="4"/>
      <c r="H80" s="4"/>
      <c r="I80" s="4" t="s">
        <v>43</v>
      </c>
      <c r="J80" s="6"/>
      <c r="K80" s="4"/>
      <c r="L80" s="4"/>
      <c r="M80" s="4"/>
      <c r="N80" s="4"/>
      <c r="O80" s="4" t="s">
        <v>43</v>
      </c>
      <c r="P80" s="6"/>
      <c r="Q80" s="4" t="s">
        <v>43</v>
      </c>
      <c r="R80" s="6"/>
    </row>
    <row r="81" spans="1:18" ht="30" customHeight="1" x14ac:dyDescent="0.35">
      <c r="A81" s="4">
        <v>80</v>
      </c>
      <c r="B81" s="4" t="s">
        <v>242</v>
      </c>
      <c r="C81" s="4" t="s">
        <v>249</v>
      </c>
      <c r="D81" s="4" t="s">
        <v>43</v>
      </c>
      <c r="E81" s="6"/>
      <c r="F81" s="4"/>
      <c r="G81" s="4"/>
      <c r="H81" s="4"/>
      <c r="I81" s="4" t="s">
        <v>43</v>
      </c>
      <c r="J81" s="6"/>
      <c r="K81" s="4"/>
      <c r="L81" s="4"/>
      <c r="M81" s="4"/>
      <c r="N81" s="4"/>
      <c r="O81" s="4" t="s">
        <v>43</v>
      </c>
      <c r="P81" s="6"/>
      <c r="Q81" s="4" t="s">
        <v>43</v>
      </c>
      <c r="R81" s="6"/>
    </row>
    <row r="82" spans="1:18" ht="30" customHeight="1" x14ac:dyDescent="0.35">
      <c r="A82" s="4">
        <v>81</v>
      </c>
      <c r="B82" s="4" t="s">
        <v>242</v>
      </c>
      <c r="C82" s="4" t="s">
        <v>250</v>
      </c>
      <c r="D82" s="4" t="s">
        <v>43</v>
      </c>
      <c r="E82" s="6"/>
      <c r="F82" s="4"/>
      <c r="G82" s="4"/>
      <c r="H82" s="4"/>
      <c r="I82" s="4" t="s">
        <v>43</v>
      </c>
      <c r="J82" s="6"/>
      <c r="K82" s="4"/>
      <c r="L82" s="4"/>
      <c r="M82" s="4"/>
      <c r="N82" s="4"/>
      <c r="O82" s="4" t="s">
        <v>43</v>
      </c>
      <c r="P82" s="6"/>
      <c r="Q82" s="4" t="s">
        <v>43</v>
      </c>
      <c r="R82" s="6"/>
    </row>
    <row r="83" spans="1:18" ht="30" customHeight="1" x14ac:dyDescent="0.35">
      <c r="A83" s="4">
        <v>82</v>
      </c>
      <c r="B83" s="4" t="s">
        <v>242</v>
      </c>
      <c r="C83" s="4" t="s">
        <v>251</v>
      </c>
      <c r="D83" s="4" t="s">
        <v>43</v>
      </c>
      <c r="E83" s="6"/>
      <c r="F83" s="4"/>
      <c r="G83" s="4"/>
      <c r="H83" s="4"/>
      <c r="I83" s="4" t="s">
        <v>43</v>
      </c>
      <c r="J83" s="6"/>
      <c r="K83" s="4"/>
      <c r="L83" s="4"/>
      <c r="M83" s="4"/>
      <c r="N83" s="4"/>
      <c r="O83" s="4" t="s">
        <v>43</v>
      </c>
      <c r="P83" s="6"/>
      <c r="Q83" s="4" t="s">
        <v>43</v>
      </c>
      <c r="R83" s="6"/>
    </row>
    <row r="84" spans="1:18" ht="30" customHeight="1" x14ac:dyDescent="0.35">
      <c r="A84" s="4">
        <v>83</v>
      </c>
      <c r="B84" s="4" t="s">
        <v>242</v>
      </c>
      <c r="C84" s="4" t="s">
        <v>252</v>
      </c>
      <c r="D84" s="4" t="s">
        <v>43</v>
      </c>
      <c r="E84" s="6"/>
      <c r="F84" s="4"/>
      <c r="G84" s="4"/>
      <c r="H84" s="4"/>
      <c r="I84" s="4" t="s">
        <v>43</v>
      </c>
      <c r="J84" s="6"/>
      <c r="K84" s="4"/>
      <c r="L84" s="4"/>
      <c r="M84" s="4"/>
      <c r="N84" s="4"/>
      <c r="O84" s="4" t="s">
        <v>43</v>
      </c>
      <c r="P84" s="6"/>
      <c r="Q84" s="4" t="s">
        <v>43</v>
      </c>
      <c r="R84" s="6"/>
    </row>
    <row r="85" spans="1:18" ht="30" customHeight="1" x14ac:dyDescent="0.35">
      <c r="A85" s="4">
        <v>84</v>
      </c>
      <c r="B85" s="4" t="s">
        <v>242</v>
      </c>
      <c r="C85" s="4" t="s">
        <v>253</v>
      </c>
      <c r="D85" s="4" t="s">
        <v>43</v>
      </c>
      <c r="E85" s="6"/>
      <c r="F85" s="4"/>
      <c r="G85" s="4"/>
      <c r="H85" s="4"/>
      <c r="I85" s="4" t="s">
        <v>43</v>
      </c>
      <c r="J85" s="6"/>
      <c r="K85" s="4"/>
      <c r="L85" s="4"/>
      <c r="M85" s="4"/>
      <c r="N85" s="4"/>
      <c r="O85" s="4" t="s">
        <v>43</v>
      </c>
      <c r="P85" s="6"/>
      <c r="Q85" s="4" t="s">
        <v>43</v>
      </c>
      <c r="R85" s="6"/>
    </row>
    <row r="86" spans="1:18" ht="30" customHeight="1" x14ac:dyDescent="0.35">
      <c r="A86" s="4">
        <v>85</v>
      </c>
      <c r="B86" s="4" t="s">
        <v>242</v>
      </c>
      <c r="C86" s="4" t="s">
        <v>254</v>
      </c>
      <c r="D86" s="4" t="s">
        <v>43</v>
      </c>
      <c r="E86" s="6"/>
      <c r="F86" s="4"/>
      <c r="G86" s="4"/>
      <c r="H86" s="4"/>
      <c r="I86" s="4" t="s">
        <v>43</v>
      </c>
      <c r="J86" s="6"/>
      <c r="K86" s="4"/>
      <c r="L86" s="4"/>
      <c r="M86" s="4"/>
      <c r="N86" s="4"/>
      <c r="O86" s="4" t="s">
        <v>43</v>
      </c>
      <c r="P86" s="6"/>
      <c r="Q86" s="4" t="s">
        <v>43</v>
      </c>
      <c r="R86" s="6"/>
    </row>
    <row r="87" spans="1:18" ht="30" customHeight="1" x14ac:dyDescent="0.35">
      <c r="A87" s="4">
        <v>86</v>
      </c>
      <c r="B87" s="4" t="s">
        <v>255</v>
      </c>
      <c r="C87" s="4" t="s">
        <v>256</v>
      </c>
      <c r="D87" s="8" t="s">
        <v>47</v>
      </c>
      <c r="E87" s="6">
        <v>1</v>
      </c>
      <c r="F87" s="4"/>
      <c r="G87" s="4" t="s">
        <v>257</v>
      </c>
      <c r="H87" s="4" t="s">
        <v>258</v>
      </c>
      <c r="I87" s="4" t="s">
        <v>43</v>
      </c>
      <c r="J87" s="6"/>
      <c r="K87" s="4"/>
      <c r="L87" s="4"/>
      <c r="M87" s="4"/>
      <c r="N87" s="4" t="s">
        <v>44</v>
      </c>
      <c r="O87" s="7" t="s">
        <v>45</v>
      </c>
      <c r="P87" s="6"/>
      <c r="Q87" s="7" t="s">
        <v>45</v>
      </c>
      <c r="R87" s="6"/>
    </row>
    <row r="88" spans="1:18" ht="30" customHeight="1" x14ac:dyDescent="0.35">
      <c r="A88" s="4">
        <v>87</v>
      </c>
      <c r="B88" s="4" t="s">
        <v>255</v>
      </c>
      <c r="C88" s="4" t="s">
        <v>259</v>
      </c>
      <c r="D88" s="4" t="s">
        <v>43</v>
      </c>
      <c r="E88" s="6"/>
      <c r="F88" s="4"/>
      <c r="G88" s="4"/>
      <c r="H88" s="4"/>
      <c r="I88" s="4" t="s">
        <v>43</v>
      </c>
      <c r="J88" s="6"/>
      <c r="K88" s="4"/>
      <c r="L88" s="4"/>
      <c r="M88" s="4"/>
      <c r="N88" s="4"/>
      <c r="O88" s="4" t="s">
        <v>43</v>
      </c>
      <c r="P88" s="6"/>
      <c r="Q88" s="4" t="s">
        <v>43</v>
      </c>
      <c r="R88" s="6"/>
    </row>
    <row r="89" spans="1:18" ht="30" customHeight="1" x14ac:dyDescent="0.35">
      <c r="A89" s="4">
        <v>88</v>
      </c>
      <c r="B89" s="4" t="s">
        <v>255</v>
      </c>
      <c r="C89" s="4" t="s">
        <v>260</v>
      </c>
      <c r="D89" s="4" t="s">
        <v>43</v>
      </c>
      <c r="E89" s="6"/>
      <c r="F89" s="4"/>
      <c r="G89" s="4"/>
      <c r="H89" s="4"/>
      <c r="I89" s="4" t="s">
        <v>43</v>
      </c>
      <c r="J89" s="6"/>
      <c r="K89" s="4"/>
      <c r="L89" s="4"/>
      <c r="M89" s="4"/>
      <c r="N89" s="4"/>
      <c r="O89" s="4" t="s">
        <v>43</v>
      </c>
      <c r="P89" s="6"/>
      <c r="Q89" s="4" t="s">
        <v>43</v>
      </c>
      <c r="R89" s="6"/>
    </row>
    <row r="90" spans="1:18" ht="30" customHeight="1" x14ac:dyDescent="0.35">
      <c r="A90" s="4">
        <v>89</v>
      </c>
      <c r="B90" s="4" t="s">
        <v>255</v>
      </c>
      <c r="C90" s="4" t="s">
        <v>261</v>
      </c>
      <c r="D90" s="4" t="s">
        <v>43</v>
      </c>
      <c r="E90" s="6"/>
      <c r="F90" s="4"/>
      <c r="G90" s="4"/>
      <c r="H90" s="4"/>
      <c r="I90" s="4" t="s">
        <v>43</v>
      </c>
      <c r="J90" s="6"/>
      <c r="K90" s="4"/>
      <c r="L90" s="4"/>
      <c r="M90" s="4"/>
      <c r="N90" s="4"/>
      <c r="O90" s="4" t="s">
        <v>43</v>
      </c>
      <c r="P90" s="6"/>
      <c r="Q90" s="4" t="s">
        <v>43</v>
      </c>
      <c r="R90" s="6"/>
    </row>
    <row r="91" spans="1:18" ht="30" customHeight="1" x14ac:dyDescent="0.35">
      <c r="A91" s="4">
        <v>90</v>
      </c>
      <c r="B91" s="4" t="s">
        <v>255</v>
      </c>
      <c r="C91" s="4" t="s">
        <v>262</v>
      </c>
      <c r="D91" s="8" t="s">
        <v>47</v>
      </c>
      <c r="E91" s="6">
        <v>1</v>
      </c>
      <c r="F91" s="4"/>
      <c r="G91" s="4" t="s">
        <v>263</v>
      </c>
      <c r="H91" s="4" t="s">
        <v>263</v>
      </c>
      <c r="I91" s="4" t="s">
        <v>43</v>
      </c>
      <c r="J91" s="6"/>
      <c r="K91" s="4"/>
      <c r="L91" s="4"/>
      <c r="M91" s="4"/>
      <c r="N91" s="4" t="s">
        <v>44</v>
      </c>
      <c r="O91" s="7" t="s">
        <v>45</v>
      </c>
      <c r="P91" s="6"/>
      <c r="Q91" s="7" t="s">
        <v>45</v>
      </c>
      <c r="R91" s="6"/>
    </row>
    <row r="92" spans="1:18" ht="30" customHeight="1" x14ac:dyDescent="0.35">
      <c r="A92" s="4">
        <v>91</v>
      </c>
      <c r="B92" s="4" t="s">
        <v>255</v>
      </c>
      <c r="C92" s="4" t="s">
        <v>264</v>
      </c>
      <c r="D92" s="4" t="s">
        <v>43</v>
      </c>
      <c r="E92" s="6"/>
      <c r="F92" s="4"/>
      <c r="G92" s="4"/>
      <c r="H92" s="4"/>
      <c r="I92" s="5" t="s">
        <v>39</v>
      </c>
      <c r="J92" s="6">
        <v>0.67</v>
      </c>
      <c r="K92" s="4" t="s">
        <v>265</v>
      </c>
      <c r="L92" s="4" t="s">
        <v>266</v>
      </c>
      <c r="M92" s="4" t="s">
        <v>267</v>
      </c>
      <c r="N92" s="4" t="s">
        <v>107</v>
      </c>
      <c r="O92" s="7" t="s">
        <v>90</v>
      </c>
      <c r="P92" s="6"/>
      <c r="Q92" s="7" t="s">
        <v>90</v>
      </c>
      <c r="R92" s="6"/>
    </row>
    <row r="93" spans="1:18" ht="30" customHeight="1" x14ac:dyDescent="0.35">
      <c r="A93" s="4">
        <v>92</v>
      </c>
      <c r="B93" s="4" t="s">
        <v>255</v>
      </c>
      <c r="C93" s="4" t="s">
        <v>268</v>
      </c>
      <c r="D93" s="4" t="s">
        <v>43</v>
      </c>
      <c r="E93" s="6"/>
      <c r="F93" s="4"/>
      <c r="G93" s="4"/>
      <c r="H93" s="4"/>
      <c r="I93" s="9" t="s">
        <v>75</v>
      </c>
      <c r="J93" s="6">
        <v>0.11</v>
      </c>
      <c r="K93" s="4" t="s">
        <v>269</v>
      </c>
      <c r="L93" s="4" t="s">
        <v>270</v>
      </c>
      <c r="M93" s="4" t="s">
        <v>271</v>
      </c>
      <c r="N93" s="4" t="s">
        <v>107</v>
      </c>
      <c r="O93" s="7" t="s">
        <v>90</v>
      </c>
      <c r="P93" s="6"/>
      <c r="Q93" s="7" t="s">
        <v>90</v>
      </c>
      <c r="R93" s="6"/>
    </row>
    <row r="94" spans="1:18" ht="30" customHeight="1" x14ac:dyDescent="0.35">
      <c r="A94" s="4">
        <v>93</v>
      </c>
      <c r="B94" s="4" t="s">
        <v>255</v>
      </c>
      <c r="C94" s="4" t="s">
        <v>272</v>
      </c>
      <c r="D94" s="4" t="s">
        <v>43</v>
      </c>
      <c r="E94" s="6"/>
      <c r="F94" s="4"/>
      <c r="G94" s="4"/>
      <c r="H94" s="4"/>
      <c r="I94" s="5" t="s">
        <v>39</v>
      </c>
      <c r="J94" s="6">
        <v>0.56999999999999995</v>
      </c>
      <c r="K94" s="4" t="s">
        <v>273</v>
      </c>
      <c r="L94" s="4" t="s">
        <v>274</v>
      </c>
      <c r="M94" s="4" t="s">
        <v>275</v>
      </c>
      <c r="N94" s="4" t="s">
        <v>107</v>
      </c>
      <c r="O94" s="7" t="s">
        <v>90</v>
      </c>
      <c r="P94" s="6"/>
      <c r="Q94" s="7" t="s">
        <v>90</v>
      </c>
      <c r="R94" s="6"/>
    </row>
    <row r="95" spans="1:18" ht="30" customHeight="1" x14ac:dyDescent="0.35">
      <c r="A95" s="4">
        <v>94</v>
      </c>
      <c r="B95" s="4" t="s">
        <v>255</v>
      </c>
      <c r="C95" s="4" t="s">
        <v>276</v>
      </c>
      <c r="D95" s="4" t="s">
        <v>43</v>
      </c>
      <c r="E95" s="6"/>
      <c r="F95" s="4"/>
      <c r="G95" s="4"/>
      <c r="H95" s="4"/>
      <c r="I95" s="7" t="s">
        <v>58</v>
      </c>
      <c r="J95" s="6">
        <v>0</v>
      </c>
      <c r="K95" s="4" t="s">
        <v>277</v>
      </c>
      <c r="L95" s="4" t="s">
        <v>278</v>
      </c>
      <c r="M95" s="4"/>
      <c r="N95" s="4" t="s">
        <v>107</v>
      </c>
      <c r="O95" s="7" t="s">
        <v>90</v>
      </c>
      <c r="P95" s="6"/>
      <c r="Q95" s="4" t="s">
        <v>43</v>
      </c>
      <c r="R95" s="6"/>
    </row>
    <row r="96" spans="1:18" ht="30" customHeight="1" x14ac:dyDescent="0.35">
      <c r="A96" s="4">
        <v>95</v>
      </c>
      <c r="B96" s="4" t="s">
        <v>255</v>
      </c>
      <c r="C96" s="4" t="s">
        <v>279</v>
      </c>
      <c r="D96" s="4" t="s">
        <v>43</v>
      </c>
      <c r="E96" s="6"/>
      <c r="F96" s="4"/>
      <c r="G96" s="4"/>
      <c r="H96" s="4"/>
      <c r="I96" s="7" t="s">
        <v>58</v>
      </c>
      <c r="J96" s="6">
        <v>0</v>
      </c>
      <c r="K96" s="4" t="s">
        <v>280</v>
      </c>
      <c r="L96" s="4" t="s">
        <v>281</v>
      </c>
      <c r="M96" s="4"/>
      <c r="N96" s="4" t="s">
        <v>107</v>
      </c>
      <c r="O96" s="7" t="s">
        <v>90</v>
      </c>
      <c r="P96" s="6"/>
      <c r="Q96" s="4" t="s">
        <v>43</v>
      </c>
      <c r="R96" s="6"/>
    </row>
    <row r="97" spans="1:18" ht="30" customHeight="1" x14ac:dyDescent="0.35">
      <c r="A97" s="4">
        <v>96</v>
      </c>
      <c r="B97" s="4" t="s">
        <v>255</v>
      </c>
      <c r="C97" s="4" t="s">
        <v>282</v>
      </c>
      <c r="D97" s="4" t="s">
        <v>43</v>
      </c>
      <c r="E97" s="6"/>
      <c r="F97" s="4"/>
      <c r="G97" s="4"/>
      <c r="H97" s="4"/>
      <c r="I97" s="7" t="s">
        <v>58</v>
      </c>
      <c r="J97" s="6">
        <v>0</v>
      </c>
      <c r="K97" s="4" t="s">
        <v>283</v>
      </c>
      <c r="L97" s="4" t="s">
        <v>284</v>
      </c>
      <c r="M97" s="4"/>
      <c r="N97" s="4" t="s">
        <v>107</v>
      </c>
      <c r="O97" s="7" t="s">
        <v>90</v>
      </c>
      <c r="P97" s="6"/>
      <c r="Q97" s="4" t="s">
        <v>43</v>
      </c>
      <c r="R97" s="6"/>
    </row>
    <row r="98" spans="1:18" ht="30" customHeight="1" x14ac:dyDescent="0.35">
      <c r="A98" s="4">
        <v>97</v>
      </c>
      <c r="B98" s="4" t="s">
        <v>255</v>
      </c>
      <c r="C98" s="4" t="s">
        <v>285</v>
      </c>
      <c r="D98" s="4" t="s">
        <v>43</v>
      </c>
      <c r="E98" s="6"/>
      <c r="F98" s="4"/>
      <c r="G98" s="4"/>
      <c r="H98" s="4"/>
      <c r="I98" s="4" t="s">
        <v>43</v>
      </c>
      <c r="J98" s="6"/>
      <c r="K98" s="4"/>
      <c r="L98" s="4"/>
      <c r="M98" s="4"/>
      <c r="N98" s="4"/>
      <c r="O98" s="4" t="s">
        <v>43</v>
      </c>
      <c r="P98" s="6"/>
      <c r="Q98" s="4" t="s">
        <v>43</v>
      </c>
      <c r="R98" s="6"/>
    </row>
    <row r="99" spans="1:18" ht="30" customHeight="1" x14ac:dyDescent="0.35">
      <c r="A99" s="4">
        <v>98</v>
      </c>
      <c r="B99" s="4" t="s">
        <v>255</v>
      </c>
      <c r="C99" s="4" t="s">
        <v>286</v>
      </c>
      <c r="D99" s="4" t="s">
        <v>43</v>
      </c>
      <c r="E99" s="6"/>
      <c r="F99" s="4"/>
      <c r="G99" s="4"/>
      <c r="H99" s="4"/>
      <c r="I99" s="4" t="s">
        <v>43</v>
      </c>
      <c r="J99" s="6"/>
      <c r="K99" s="4"/>
      <c r="L99" s="4"/>
      <c r="M99" s="4"/>
      <c r="N99" s="4"/>
      <c r="O99" s="4" t="s">
        <v>43</v>
      </c>
      <c r="P99" s="6"/>
      <c r="Q99" s="4" t="s">
        <v>43</v>
      </c>
      <c r="R99" s="6"/>
    </row>
    <row r="100" spans="1:18" ht="30" customHeight="1" x14ac:dyDescent="0.35">
      <c r="A100" s="4">
        <v>99</v>
      </c>
      <c r="B100" s="4" t="s">
        <v>255</v>
      </c>
      <c r="C100" s="4" t="s">
        <v>287</v>
      </c>
      <c r="D100" s="4" t="s">
        <v>43</v>
      </c>
      <c r="E100" s="6"/>
      <c r="F100" s="4"/>
      <c r="G100" s="4"/>
      <c r="H100" s="4"/>
      <c r="I100" s="4" t="s">
        <v>43</v>
      </c>
      <c r="J100" s="6"/>
      <c r="K100" s="4"/>
      <c r="L100" s="4"/>
      <c r="M100" s="4"/>
      <c r="N100" s="4"/>
      <c r="O100" s="4" t="s">
        <v>43</v>
      </c>
      <c r="P100" s="6"/>
      <c r="Q100" s="4" t="s">
        <v>43</v>
      </c>
      <c r="R100" s="6"/>
    </row>
    <row r="101" spans="1:18" ht="30" customHeight="1" x14ac:dyDescent="0.35">
      <c r="A101" s="4">
        <v>100</v>
      </c>
      <c r="B101" s="4" t="s">
        <v>255</v>
      </c>
      <c r="C101" s="4" t="s">
        <v>288</v>
      </c>
      <c r="D101" s="4" t="s">
        <v>43</v>
      </c>
      <c r="E101" s="6"/>
      <c r="F101" s="4"/>
      <c r="G101" s="4"/>
      <c r="H101" s="4"/>
      <c r="I101" s="4" t="s">
        <v>43</v>
      </c>
      <c r="J101" s="6"/>
      <c r="K101" s="4"/>
      <c r="L101" s="4"/>
      <c r="M101" s="4"/>
      <c r="N101" s="4"/>
      <c r="O101" s="4" t="s">
        <v>43</v>
      </c>
      <c r="P101" s="6"/>
      <c r="Q101" s="4" t="s">
        <v>43</v>
      </c>
      <c r="R101" s="6"/>
    </row>
    <row r="102" spans="1:18" ht="30" customHeight="1" x14ac:dyDescent="0.35">
      <c r="A102" s="4">
        <v>101</v>
      </c>
      <c r="B102" s="4" t="s">
        <v>255</v>
      </c>
      <c r="C102" s="4" t="s">
        <v>289</v>
      </c>
      <c r="D102" s="8" t="s">
        <v>47</v>
      </c>
      <c r="E102" s="6">
        <v>1</v>
      </c>
      <c r="F102" s="4"/>
      <c r="G102" s="4" t="s">
        <v>290</v>
      </c>
      <c r="H102" s="4" t="s">
        <v>290</v>
      </c>
      <c r="I102" s="4" t="s">
        <v>43</v>
      </c>
      <c r="J102" s="6"/>
      <c r="K102" s="4"/>
      <c r="L102" s="4"/>
      <c r="M102" s="4"/>
      <c r="N102" s="4" t="s">
        <v>44</v>
      </c>
      <c r="O102" s="7" t="s">
        <v>45</v>
      </c>
      <c r="P102" s="6"/>
      <c r="Q102" s="7" t="s">
        <v>45</v>
      </c>
      <c r="R102" s="6"/>
    </row>
    <row r="103" spans="1:18" ht="30" customHeight="1" x14ac:dyDescent="0.35">
      <c r="A103" s="4">
        <v>102</v>
      </c>
      <c r="B103" s="4" t="s">
        <v>291</v>
      </c>
      <c r="C103" s="4" t="s">
        <v>292</v>
      </c>
      <c r="D103" s="4" t="s">
        <v>43</v>
      </c>
      <c r="E103" s="6"/>
      <c r="F103" s="4"/>
      <c r="G103" s="4"/>
      <c r="H103" s="4"/>
      <c r="I103" s="5" t="s">
        <v>39</v>
      </c>
      <c r="J103" s="6">
        <v>0.53</v>
      </c>
      <c r="K103" s="4" t="s">
        <v>293</v>
      </c>
      <c r="L103" s="4" t="s">
        <v>294</v>
      </c>
      <c r="M103" s="4" t="s">
        <v>295</v>
      </c>
      <c r="N103" s="4" t="s">
        <v>107</v>
      </c>
      <c r="O103" s="7" t="s">
        <v>90</v>
      </c>
      <c r="P103" s="6"/>
      <c r="Q103" s="7" t="s">
        <v>90</v>
      </c>
      <c r="R103" s="6"/>
    </row>
    <row r="104" spans="1:18" ht="30" customHeight="1" x14ac:dyDescent="0.35">
      <c r="A104" s="4">
        <v>103</v>
      </c>
      <c r="B104" s="4" t="s">
        <v>291</v>
      </c>
      <c r="C104" s="4" t="s">
        <v>296</v>
      </c>
      <c r="D104" s="4" t="s">
        <v>43</v>
      </c>
      <c r="E104" s="6"/>
      <c r="F104" s="4"/>
      <c r="G104" s="4"/>
      <c r="H104" s="4"/>
      <c r="I104" s="9" t="s">
        <v>75</v>
      </c>
      <c r="J104" s="6">
        <v>0.2</v>
      </c>
      <c r="K104" s="4" t="s">
        <v>297</v>
      </c>
      <c r="L104" s="4" t="s">
        <v>298</v>
      </c>
      <c r="M104" s="4" t="s">
        <v>299</v>
      </c>
      <c r="N104" s="4" t="s">
        <v>107</v>
      </c>
      <c r="O104" s="7" t="s">
        <v>90</v>
      </c>
      <c r="P104" s="6"/>
      <c r="Q104" s="7" t="s">
        <v>90</v>
      </c>
      <c r="R104" s="6"/>
    </row>
    <row r="105" spans="1:18" ht="30" customHeight="1" x14ac:dyDescent="0.35">
      <c r="A105" s="4">
        <v>104</v>
      </c>
      <c r="B105" s="4" t="s">
        <v>291</v>
      </c>
      <c r="C105" s="4" t="s">
        <v>300</v>
      </c>
      <c r="D105" s="4" t="s">
        <v>43</v>
      </c>
      <c r="E105" s="6"/>
      <c r="F105" s="4"/>
      <c r="G105" s="4"/>
      <c r="H105" s="4"/>
      <c r="I105" s="9" t="s">
        <v>75</v>
      </c>
      <c r="J105" s="6">
        <v>0.33</v>
      </c>
      <c r="K105" s="4" t="s">
        <v>301</v>
      </c>
      <c r="L105" s="4" t="s">
        <v>302</v>
      </c>
      <c r="M105" s="4" t="s">
        <v>303</v>
      </c>
      <c r="N105" s="4" t="s">
        <v>107</v>
      </c>
      <c r="O105" s="7" t="s">
        <v>90</v>
      </c>
      <c r="P105" s="6"/>
      <c r="Q105" s="7" t="s">
        <v>90</v>
      </c>
      <c r="R105" s="6"/>
    </row>
    <row r="106" spans="1:18" ht="30" customHeight="1" x14ac:dyDescent="0.35">
      <c r="A106" s="4">
        <v>105</v>
      </c>
      <c r="B106" s="4" t="s">
        <v>291</v>
      </c>
      <c r="C106" s="4" t="s">
        <v>304</v>
      </c>
      <c r="D106" s="4" t="s">
        <v>43</v>
      </c>
      <c r="E106" s="6"/>
      <c r="F106" s="4"/>
      <c r="G106" s="4"/>
      <c r="H106" s="4"/>
      <c r="I106" s="9" t="s">
        <v>75</v>
      </c>
      <c r="J106" s="6">
        <v>0.21</v>
      </c>
      <c r="K106" s="4" t="s">
        <v>305</v>
      </c>
      <c r="L106" s="4" t="s">
        <v>306</v>
      </c>
      <c r="M106" s="4" t="s">
        <v>307</v>
      </c>
      <c r="N106" s="4" t="s">
        <v>107</v>
      </c>
      <c r="O106" s="7" t="s">
        <v>90</v>
      </c>
      <c r="P106" s="6"/>
      <c r="Q106" s="7" t="s">
        <v>90</v>
      </c>
      <c r="R106" s="6"/>
    </row>
    <row r="107" spans="1:18" ht="30" customHeight="1" x14ac:dyDescent="0.35">
      <c r="A107" s="4">
        <v>106</v>
      </c>
      <c r="B107" s="4" t="s">
        <v>291</v>
      </c>
      <c r="C107" s="4" t="s">
        <v>308</v>
      </c>
      <c r="D107" s="4" t="s">
        <v>43</v>
      </c>
      <c r="E107" s="6"/>
      <c r="F107" s="4"/>
      <c r="G107" s="4"/>
      <c r="H107" s="4"/>
      <c r="I107" s="9" t="s">
        <v>75</v>
      </c>
      <c r="J107" s="6">
        <v>0.49</v>
      </c>
      <c r="K107" s="4" t="s">
        <v>309</v>
      </c>
      <c r="L107" s="4" t="s">
        <v>310</v>
      </c>
      <c r="M107" s="4" t="s">
        <v>311</v>
      </c>
      <c r="N107" s="4" t="s">
        <v>107</v>
      </c>
      <c r="O107" s="7" t="s">
        <v>90</v>
      </c>
      <c r="P107" s="6"/>
      <c r="Q107" s="7" t="s">
        <v>90</v>
      </c>
      <c r="R107" s="6"/>
    </row>
    <row r="108" spans="1:18" ht="30" customHeight="1" x14ac:dyDescent="0.35">
      <c r="A108" s="4">
        <v>107</v>
      </c>
      <c r="B108" s="4" t="s">
        <v>291</v>
      </c>
      <c r="C108" s="4" t="s">
        <v>312</v>
      </c>
      <c r="D108" s="4" t="s">
        <v>43</v>
      </c>
      <c r="E108" s="6"/>
      <c r="F108" s="4"/>
      <c r="G108" s="4"/>
      <c r="H108" s="4"/>
      <c r="I108" s="4" t="s">
        <v>43</v>
      </c>
      <c r="J108" s="6"/>
      <c r="K108" s="4"/>
      <c r="L108" s="4"/>
      <c r="M108" s="4"/>
      <c r="N108" s="4"/>
      <c r="O108" s="4" t="s">
        <v>43</v>
      </c>
      <c r="P108" s="6"/>
      <c r="Q108" s="4" t="s">
        <v>43</v>
      </c>
      <c r="R108" s="6"/>
    </row>
    <row r="109" spans="1:18" ht="30" customHeight="1" x14ac:dyDescent="0.35">
      <c r="A109" s="4">
        <v>108</v>
      </c>
      <c r="B109" s="4" t="s">
        <v>291</v>
      </c>
      <c r="C109" s="4" t="s">
        <v>313</v>
      </c>
      <c r="D109" s="4" t="s">
        <v>43</v>
      </c>
      <c r="E109" s="6"/>
      <c r="F109" s="4"/>
      <c r="G109" s="4"/>
      <c r="H109" s="4"/>
      <c r="I109" s="9" t="s">
        <v>75</v>
      </c>
      <c r="J109" s="6">
        <v>0.43</v>
      </c>
      <c r="K109" s="4" t="s">
        <v>314</v>
      </c>
      <c r="L109" s="4" t="s">
        <v>315</v>
      </c>
      <c r="M109" s="4" t="s">
        <v>316</v>
      </c>
      <c r="N109" s="4" t="s">
        <v>107</v>
      </c>
      <c r="O109" s="7" t="s">
        <v>90</v>
      </c>
      <c r="P109" s="6"/>
      <c r="Q109" s="7" t="s">
        <v>90</v>
      </c>
      <c r="R109" s="6"/>
    </row>
    <row r="110" spans="1:18" ht="30" customHeight="1" x14ac:dyDescent="0.35">
      <c r="A110" s="4">
        <v>109</v>
      </c>
      <c r="B110" s="4" t="s">
        <v>291</v>
      </c>
      <c r="C110" s="4" t="s">
        <v>317</v>
      </c>
      <c r="D110" s="4" t="s">
        <v>43</v>
      </c>
      <c r="E110" s="6"/>
      <c r="F110" s="4"/>
      <c r="G110" s="4"/>
      <c r="H110" s="4"/>
      <c r="I110" s="9" t="s">
        <v>75</v>
      </c>
      <c r="J110" s="6">
        <v>0.33</v>
      </c>
      <c r="K110" s="4" t="s">
        <v>318</v>
      </c>
      <c r="L110" s="4" t="s">
        <v>319</v>
      </c>
      <c r="M110" s="4" t="s">
        <v>320</v>
      </c>
      <c r="N110" s="4" t="s">
        <v>107</v>
      </c>
      <c r="O110" s="7" t="s">
        <v>90</v>
      </c>
      <c r="P110" s="6"/>
      <c r="Q110" s="7" t="s">
        <v>90</v>
      </c>
      <c r="R110" s="6"/>
    </row>
    <row r="111" spans="1:18" ht="30" customHeight="1" x14ac:dyDescent="0.35">
      <c r="A111" s="4">
        <v>110</v>
      </c>
      <c r="B111" s="4" t="s">
        <v>291</v>
      </c>
      <c r="C111" s="4" t="s">
        <v>321</v>
      </c>
      <c r="D111" s="8" t="s">
        <v>47</v>
      </c>
      <c r="E111" s="6">
        <v>1</v>
      </c>
      <c r="F111" s="4"/>
      <c r="G111" s="4" t="s">
        <v>322</v>
      </c>
      <c r="H111" s="4" t="s">
        <v>322</v>
      </c>
      <c r="I111" s="9" t="s">
        <v>75</v>
      </c>
      <c r="J111" s="6">
        <v>0.25</v>
      </c>
      <c r="K111" s="4" t="s">
        <v>323</v>
      </c>
      <c r="L111" s="4" t="s">
        <v>324</v>
      </c>
      <c r="M111" s="4" t="s">
        <v>325</v>
      </c>
      <c r="N111" s="4" t="s">
        <v>98</v>
      </c>
      <c r="O111" s="9" t="s">
        <v>75</v>
      </c>
      <c r="P111" s="6">
        <v>0.19</v>
      </c>
      <c r="Q111" s="9" t="s">
        <v>75</v>
      </c>
      <c r="R111" s="6">
        <v>0.26</v>
      </c>
    </row>
    <row r="112" spans="1:18" ht="30" customHeight="1" x14ac:dyDescent="0.35">
      <c r="A112" s="4">
        <v>111</v>
      </c>
      <c r="B112" s="4" t="s">
        <v>291</v>
      </c>
      <c r="C112" s="4" t="s">
        <v>326</v>
      </c>
      <c r="D112" s="4" t="s">
        <v>43</v>
      </c>
      <c r="E112" s="6"/>
      <c r="F112" s="4"/>
      <c r="G112" s="4"/>
      <c r="H112" s="4"/>
      <c r="I112" s="9" t="s">
        <v>75</v>
      </c>
      <c r="J112" s="6">
        <v>0.17</v>
      </c>
      <c r="K112" s="4" t="s">
        <v>327</v>
      </c>
      <c r="L112" s="4" t="s">
        <v>328</v>
      </c>
      <c r="M112" s="4" t="s">
        <v>329</v>
      </c>
      <c r="N112" s="4" t="s">
        <v>107</v>
      </c>
      <c r="O112" s="7" t="s">
        <v>90</v>
      </c>
      <c r="P112" s="6"/>
      <c r="Q112" s="7" t="s">
        <v>90</v>
      </c>
      <c r="R112" s="6"/>
    </row>
    <row r="113" spans="1:18" ht="30" customHeight="1" x14ac:dyDescent="0.35">
      <c r="A113" s="4">
        <v>112</v>
      </c>
      <c r="B113" s="4" t="s">
        <v>291</v>
      </c>
      <c r="C113" s="4" t="s">
        <v>330</v>
      </c>
      <c r="D113" s="4" t="s">
        <v>43</v>
      </c>
      <c r="E113" s="6"/>
      <c r="F113" s="4"/>
      <c r="G113" s="4"/>
      <c r="H113" s="4"/>
      <c r="I113" s="9" t="s">
        <v>75</v>
      </c>
      <c r="J113" s="6">
        <v>0.28999999999999998</v>
      </c>
      <c r="K113" s="4" t="s">
        <v>331</v>
      </c>
      <c r="L113" s="4" t="s">
        <v>332</v>
      </c>
      <c r="M113" s="4" t="s">
        <v>333</v>
      </c>
      <c r="N113" s="4" t="s">
        <v>107</v>
      </c>
      <c r="O113" s="7" t="s">
        <v>90</v>
      </c>
      <c r="P113" s="6"/>
      <c r="Q113" s="7" t="s">
        <v>90</v>
      </c>
      <c r="R113" s="6"/>
    </row>
    <row r="114" spans="1:18" ht="30" customHeight="1" x14ac:dyDescent="0.35">
      <c r="A114" s="4">
        <v>113</v>
      </c>
      <c r="B114" s="4" t="s">
        <v>291</v>
      </c>
      <c r="C114" s="4" t="s">
        <v>334</v>
      </c>
      <c r="D114" s="8" t="s">
        <v>47</v>
      </c>
      <c r="E114" s="6">
        <v>1</v>
      </c>
      <c r="F114" s="4"/>
      <c r="G114" s="4" t="s">
        <v>335</v>
      </c>
      <c r="H114" s="4" t="s">
        <v>335</v>
      </c>
      <c r="I114" s="9" t="s">
        <v>75</v>
      </c>
      <c r="J114" s="6">
        <v>0.44</v>
      </c>
      <c r="K114" s="4" t="s">
        <v>336</v>
      </c>
      <c r="L114" s="4" t="s">
        <v>337</v>
      </c>
      <c r="M114" s="4" t="s">
        <v>338</v>
      </c>
      <c r="N114" s="4" t="s">
        <v>98</v>
      </c>
      <c r="O114" s="9" t="s">
        <v>75</v>
      </c>
      <c r="P114" s="6">
        <v>0.28000000000000003</v>
      </c>
      <c r="Q114" s="9" t="s">
        <v>75</v>
      </c>
      <c r="R114" s="6">
        <v>0.23</v>
      </c>
    </row>
    <row r="115" spans="1:18" ht="30" customHeight="1" x14ac:dyDescent="0.35">
      <c r="A115" s="4">
        <v>114</v>
      </c>
      <c r="B115" s="4" t="s">
        <v>339</v>
      </c>
      <c r="C115" s="4" t="s">
        <v>340</v>
      </c>
      <c r="D115" s="4" t="s">
        <v>43</v>
      </c>
      <c r="E115" s="6"/>
      <c r="F115" s="4"/>
      <c r="G115" s="4"/>
      <c r="H115" s="4"/>
      <c r="I115" s="4" t="s">
        <v>43</v>
      </c>
      <c r="J115" s="6"/>
      <c r="K115" s="4"/>
      <c r="L115" s="4"/>
      <c r="M115" s="4"/>
      <c r="N115" s="4"/>
      <c r="O115" s="4" t="s">
        <v>43</v>
      </c>
      <c r="P115" s="6"/>
      <c r="Q115" s="4" t="s">
        <v>43</v>
      </c>
      <c r="R115" s="6"/>
    </row>
    <row r="116" spans="1:18" ht="30" customHeight="1" x14ac:dyDescent="0.35">
      <c r="A116" s="4">
        <v>115</v>
      </c>
      <c r="B116" s="4" t="s">
        <v>339</v>
      </c>
      <c r="C116" s="4" t="s">
        <v>341</v>
      </c>
      <c r="D116" s="8" t="s">
        <v>47</v>
      </c>
      <c r="E116" s="6">
        <v>1</v>
      </c>
      <c r="F116" s="4"/>
      <c r="G116" s="4" t="s">
        <v>342</v>
      </c>
      <c r="H116" s="4" t="s">
        <v>342</v>
      </c>
      <c r="I116" s="8" t="s">
        <v>47</v>
      </c>
      <c r="J116" s="6">
        <v>1</v>
      </c>
      <c r="K116" s="4"/>
      <c r="L116" s="4" t="s">
        <v>342</v>
      </c>
      <c r="M116" s="4" t="s">
        <v>342</v>
      </c>
      <c r="N116" s="4" t="s">
        <v>121</v>
      </c>
      <c r="O116" s="8" t="s">
        <v>47</v>
      </c>
      <c r="P116" s="6">
        <v>1</v>
      </c>
      <c r="Q116" s="8" t="s">
        <v>47</v>
      </c>
      <c r="R116" s="6">
        <v>1</v>
      </c>
    </row>
    <row r="117" spans="1:18" ht="30" customHeight="1" x14ac:dyDescent="0.35">
      <c r="A117" s="4">
        <v>116</v>
      </c>
      <c r="B117" s="4" t="s">
        <v>339</v>
      </c>
      <c r="C117" s="4" t="s">
        <v>343</v>
      </c>
      <c r="D117" s="4" t="s">
        <v>43</v>
      </c>
      <c r="E117" s="6"/>
      <c r="F117" s="4"/>
      <c r="G117" s="4"/>
      <c r="H117" s="4"/>
      <c r="I117" s="4" t="s">
        <v>43</v>
      </c>
      <c r="J117" s="6"/>
      <c r="K117" s="4"/>
      <c r="L117" s="4"/>
      <c r="M117" s="4"/>
      <c r="N117" s="4"/>
      <c r="O117" s="4" t="s">
        <v>43</v>
      </c>
      <c r="P117" s="6"/>
      <c r="Q117" s="4" t="s">
        <v>43</v>
      </c>
      <c r="R117" s="6"/>
    </row>
    <row r="118" spans="1:18" ht="30" customHeight="1" x14ac:dyDescent="0.35">
      <c r="A118" s="4">
        <v>117</v>
      </c>
      <c r="B118" s="4" t="s">
        <v>339</v>
      </c>
      <c r="C118" s="4" t="s">
        <v>344</v>
      </c>
      <c r="D118" s="4" t="s">
        <v>43</v>
      </c>
      <c r="E118" s="6"/>
      <c r="F118" s="4"/>
      <c r="G118" s="4"/>
      <c r="H118" s="4"/>
      <c r="I118" s="4" t="s">
        <v>43</v>
      </c>
      <c r="J118" s="6"/>
      <c r="K118" s="4"/>
      <c r="L118" s="4"/>
      <c r="M118" s="4"/>
      <c r="N118" s="4"/>
      <c r="O118" s="4" t="s">
        <v>43</v>
      </c>
      <c r="P118" s="6"/>
      <c r="Q118" s="4" t="s">
        <v>43</v>
      </c>
      <c r="R118" s="6"/>
    </row>
    <row r="119" spans="1:18" ht="30" customHeight="1" x14ac:dyDescent="0.35">
      <c r="A119" s="4">
        <v>118</v>
      </c>
      <c r="B119" s="4" t="s">
        <v>339</v>
      </c>
      <c r="C119" s="4" t="s">
        <v>345</v>
      </c>
      <c r="D119" s="4" t="s">
        <v>43</v>
      </c>
      <c r="E119" s="6"/>
      <c r="F119" s="4"/>
      <c r="G119" s="4"/>
      <c r="H119" s="4"/>
      <c r="I119" s="4" t="s">
        <v>43</v>
      </c>
      <c r="J119" s="6"/>
      <c r="K119" s="4"/>
      <c r="L119" s="4"/>
      <c r="M119" s="4"/>
      <c r="N119" s="4"/>
      <c r="O119" s="4" t="s">
        <v>43</v>
      </c>
      <c r="P119" s="6"/>
      <c r="Q119" s="4" t="s">
        <v>43</v>
      </c>
      <c r="R119" s="6"/>
    </row>
    <row r="120" spans="1:18" ht="30" customHeight="1" x14ac:dyDescent="0.35">
      <c r="A120" s="4">
        <v>119</v>
      </c>
      <c r="B120" s="4" t="s">
        <v>339</v>
      </c>
      <c r="C120" s="4" t="s">
        <v>346</v>
      </c>
      <c r="D120" s="4" t="s">
        <v>43</v>
      </c>
      <c r="E120" s="6"/>
      <c r="F120" s="4"/>
      <c r="G120" s="4"/>
      <c r="H120" s="4"/>
      <c r="I120" s="4" t="s">
        <v>43</v>
      </c>
      <c r="J120" s="6"/>
      <c r="K120" s="4"/>
      <c r="L120" s="4"/>
      <c r="M120" s="4"/>
      <c r="N120" s="4"/>
      <c r="O120" s="4" t="s">
        <v>43</v>
      </c>
      <c r="P120" s="6"/>
      <c r="Q120" s="4" t="s">
        <v>43</v>
      </c>
      <c r="R120" s="6"/>
    </row>
    <row r="121" spans="1:18" ht="30" customHeight="1" x14ac:dyDescent="0.35">
      <c r="A121" s="4">
        <v>120</v>
      </c>
      <c r="B121" s="4" t="s">
        <v>339</v>
      </c>
      <c r="C121" s="4" t="s">
        <v>347</v>
      </c>
      <c r="D121" s="4" t="s">
        <v>43</v>
      </c>
      <c r="E121" s="6"/>
      <c r="F121" s="4"/>
      <c r="G121" s="4"/>
      <c r="H121" s="4"/>
      <c r="I121" s="4" t="s">
        <v>43</v>
      </c>
      <c r="J121" s="6"/>
      <c r="K121" s="4"/>
      <c r="L121" s="4"/>
      <c r="M121" s="4"/>
      <c r="N121" s="4"/>
      <c r="O121" s="4" t="s">
        <v>43</v>
      </c>
      <c r="P121" s="6"/>
      <c r="Q121" s="4" t="s">
        <v>43</v>
      </c>
      <c r="R121" s="6"/>
    </row>
    <row r="122" spans="1:18" ht="30" customHeight="1" x14ac:dyDescent="0.35">
      <c r="A122" s="4">
        <v>121</v>
      </c>
      <c r="B122" s="4" t="s">
        <v>339</v>
      </c>
      <c r="C122" s="4" t="s">
        <v>348</v>
      </c>
      <c r="D122" s="4" t="s">
        <v>43</v>
      </c>
      <c r="E122" s="6"/>
      <c r="F122" s="4"/>
      <c r="G122" s="4"/>
      <c r="H122" s="4"/>
      <c r="I122" s="5" t="s">
        <v>39</v>
      </c>
      <c r="J122" s="6">
        <v>0.85</v>
      </c>
      <c r="K122" s="4" t="s">
        <v>349</v>
      </c>
      <c r="L122" s="4" t="s">
        <v>350</v>
      </c>
      <c r="M122" s="4" t="s">
        <v>351</v>
      </c>
      <c r="N122" s="4" t="s">
        <v>107</v>
      </c>
      <c r="O122" s="7" t="s">
        <v>90</v>
      </c>
      <c r="P122" s="6"/>
      <c r="Q122" s="7" t="s">
        <v>90</v>
      </c>
      <c r="R122" s="6"/>
    </row>
    <row r="123" spans="1:18" ht="30" customHeight="1" x14ac:dyDescent="0.35">
      <c r="A123" s="4">
        <v>122</v>
      </c>
      <c r="B123" s="4" t="s">
        <v>339</v>
      </c>
      <c r="C123" s="4" t="s">
        <v>352</v>
      </c>
      <c r="D123" s="8" t="s">
        <v>47</v>
      </c>
      <c r="E123" s="6">
        <v>1</v>
      </c>
      <c r="F123" s="4"/>
      <c r="G123" s="4" t="s">
        <v>353</v>
      </c>
      <c r="H123" s="4" t="s">
        <v>354</v>
      </c>
      <c r="I123" s="4" t="s">
        <v>43</v>
      </c>
      <c r="J123" s="6"/>
      <c r="K123" s="4"/>
      <c r="L123" s="4"/>
      <c r="M123" s="4"/>
      <c r="N123" s="4" t="s">
        <v>44</v>
      </c>
      <c r="O123" s="7" t="s">
        <v>45</v>
      </c>
      <c r="P123" s="6"/>
      <c r="Q123" s="7" t="s">
        <v>45</v>
      </c>
      <c r="R123" s="6"/>
    </row>
    <row r="124" spans="1:18" ht="30" customHeight="1" x14ac:dyDescent="0.35">
      <c r="A124" s="4">
        <v>123</v>
      </c>
      <c r="B124" s="4" t="s">
        <v>339</v>
      </c>
      <c r="C124" s="4" t="s">
        <v>355</v>
      </c>
      <c r="D124" s="4" t="s">
        <v>43</v>
      </c>
      <c r="E124" s="6"/>
      <c r="F124" s="4"/>
      <c r="G124" s="4"/>
      <c r="H124" s="4"/>
      <c r="I124" s="4" t="s">
        <v>43</v>
      </c>
      <c r="J124" s="6"/>
      <c r="K124" s="4"/>
      <c r="L124" s="4"/>
      <c r="M124" s="4"/>
      <c r="N124" s="4"/>
      <c r="O124" s="4" t="s">
        <v>43</v>
      </c>
      <c r="P124" s="6"/>
      <c r="Q124" s="4" t="s">
        <v>43</v>
      </c>
      <c r="R124" s="6"/>
    </row>
    <row r="125" spans="1:18" ht="30" customHeight="1" x14ac:dyDescent="0.35">
      <c r="A125" s="4">
        <v>124</v>
      </c>
      <c r="B125" s="4" t="s">
        <v>339</v>
      </c>
      <c r="C125" s="4" t="s">
        <v>356</v>
      </c>
      <c r="D125" s="4" t="s">
        <v>43</v>
      </c>
      <c r="E125" s="6"/>
      <c r="F125" s="4"/>
      <c r="G125" s="4"/>
      <c r="H125" s="4"/>
      <c r="I125" s="4" t="s">
        <v>43</v>
      </c>
      <c r="J125" s="6"/>
      <c r="K125" s="4"/>
      <c r="L125" s="4"/>
      <c r="M125" s="4"/>
      <c r="N125" s="4"/>
      <c r="O125" s="4" t="s">
        <v>43</v>
      </c>
      <c r="P125" s="6"/>
      <c r="Q125" s="4" t="s">
        <v>43</v>
      </c>
      <c r="R125" s="6"/>
    </row>
    <row r="126" spans="1:18" ht="30" customHeight="1" x14ac:dyDescent="0.35">
      <c r="A126" s="4">
        <v>125</v>
      </c>
      <c r="B126" s="4" t="s">
        <v>339</v>
      </c>
      <c r="C126" s="4" t="s">
        <v>357</v>
      </c>
      <c r="D126" s="4" t="s">
        <v>43</v>
      </c>
      <c r="E126" s="6"/>
      <c r="F126" s="4"/>
      <c r="G126" s="4"/>
      <c r="H126" s="4"/>
      <c r="I126" s="4" t="s">
        <v>43</v>
      </c>
      <c r="J126" s="6"/>
      <c r="K126" s="4"/>
      <c r="L126" s="4"/>
      <c r="M126" s="4"/>
      <c r="N126" s="4"/>
      <c r="O126" s="4" t="s">
        <v>43</v>
      </c>
      <c r="P126" s="6"/>
      <c r="Q126" s="4" t="s">
        <v>43</v>
      </c>
      <c r="R126" s="6"/>
    </row>
    <row r="127" spans="1:18" ht="30" customHeight="1" x14ac:dyDescent="0.35">
      <c r="A127" s="4">
        <v>126</v>
      </c>
      <c r="B127" s="4" t="s">
        <v>339</v>
      </c>
      <c r="C127" s="4" t="s">
        <v>358</v>
      </c>
      <c r="D127" s="8" t="s">
        <v>47</v>
      </c>
      <c r="E127" s="6">
        <v>1</v>
      </c>
      <c r="F127" s="4"/>
      <c r="G127" s="4" t="s">
        <v>359</v>
      </c>
      <c r="H127" s="4" t="s">
        <v>360</v>
      </c>
      <c r="I127" s="4" t="s">
        <v>43</v>
      </c>
      <c r="J127" s="6"/>
      <c r="K127" s="4"/>
      <c r="L127" s="4"/>
      <c r="M127" s="4"/>
      <c r="N127" s="4" t="s">
        <v>44</v>
      </c>
      <c r="O127" s="7" t="s">
        <v>45</v>
      </c>
      <c r="P127" s="6"/>
      <c r="Q127" s="7" t="s">
        <v>45</v>
      </c>
      <c r="R127" s="6"/>
    </row>
    <row r="128" spans="1:18" ht="30" customHeight="1" x14ac:dyDescent="0.35">
      <c r="A128" s="4">
        <v>127</v>
      </c>
      <c r="B128" s="4" t="s">
        <v>339</v>
      </c>
      <c r="C128" s="4" t="s">
        <v>361</v>
      </c>
      <c r="D128" s="4" t="s">
        <v>43</v>
      </c>
      <c r="E128" s="6"/>
      <c r="F128" s="4"/>
      <c r="G128" s="4"/>
      <c r="H128" s="4"/>
      <c r="I128" s="4" t="s">
        <v>43</v>
      </c>
      <c r="J128" s="6"/>
      <c r="K128" s="4"/>
      <c r="L128" s="4"/>
      <c r="M128" s="4"/>
      <c r="N128" s="4"/>
      <c r="O128" s="4" t="s">
        <v>43</v>
      </c>
      <c r="P128" s="6"/>
      <c r="Q128" s="4" t="s">
        <v>43</v>
      </c>
      <c r="R128" s="6"/>
    </row>
    <row r="129" spans="1:18" ht="30" customHeight="1" x14ac:dyDescent="0.35">
      <c r="A129" s="4">
        <v>128</v>
      </c>
      <c r="B129" s="4" t="s">
        <v>339</v>
      </c>
      <c r="C129" s="4" t="s">
        <v>362</v>
      </c>
      <c r="D129" s="4" t="s">
        <v>43</v>
      </c>
      <c r="E129" s="6"/>
      <c r="F129" s="4"/>
      <c r="G129" s="4"/>
      <c r="H129" s="4"/>
      <c r="I129" s="4" t="s">
        <v>43</v>
      </c>
      <c r="J129" s="6"/>
      <c r="K129" s="4"/>
      <c r="L129" s="4"/>
      <c r="M129" s="4"/>
      <c r="N129" s="4"/>
      <c r="O129" s="4" t="s">
        <v>43</v>
      </c>
      <c r="P129" s="6"/>
      <c r="Q129" s="4" t="s">
        <v>43</v>
      </c>
      <c r="R129" s="6"/>
    </row>
    <row r="130" spans="1:18" ht="30" customHeight="1" x14ac:dyDescent="0.35">
      <c r="A130" s="4">
        <v>129</v>
      </c>
      <c r="B130" s="4" t="s">
        <v>363</v>
      </c>
      <c r="C130" s="4" t="s">
        <v>364</v>
      </c>
      <c r="D130" s="7" t="s">
        <v>50</v>
      </c>
      <c r="E130" s="6">
        <v>0</v>
      </c>
      <c r="F130" s="4" t="s">
        <v>365</v>
      </c>
      <c r="G130" s="4"/>
      <c r="H130" s="4" t="s">
        <v>366</v>
      </c>
      <c r="I130" s="4" t="s">
        <v>43</v>
      </c>
      <c r="J130" s="6"/>
      <c r="K130" s="4"/>
      <c r="L130" s="4"/>
      <c r="M130" s="4"/>
      <c r="N130" s="4" t="s">
        <v>44</v>
      </c>
      <c r="O130" s="4" t="s">
        <v>43</v>
      </c>
      <c r="P130" s="6"/>
      <c r="Q130" s="7" t="s">
        <v>45</v>
      </c>
      <c r="R130" s="6"/>
    </row>
    <row r="131" spans="1:18" ht="30" customHeight="1" x14ac:dyDescent="0.35">
      <c r="A131" s="4">
        <v>130</v>
      </c>
      <c r="B131" s="4" t="s">
        <v>363</v>
      </c>
      <c r="C131" s="4" t="s">
        <v>367</v>
      </c>
      <c r="D131" s="4" t="s">
        <v>43</v>
      </c>
      <c r="E131" s="6"/>
      <c r="F131" s="4"/>
      <c r="G131" s="4"/>
      <c r="H131" s="4"/>
      <c r="I131" s="4" t="s">
        <v>43</v>
      </c>
      <c r="J131" s="6"/>
      <c r="K131" s="4"/>
      <c r="L131" s="4"/>
      <c r="M131" s="4"/>
      <c r="N131" s="4"/>
      <c r="O131" s="4" t="s">
        <v>43</v>
      </c>
      <c r="P131" s="6"/>
      <c r="Q131" s="4" t="s">
        <v>43</v>
      </c>
      <c r="R131" s="6"/>
    </row>
    <row r="132" spans="1:18" ht="30" customHeight="1" x14ac:dyDescent="0.35">
      <c r="A132" s="4">
        <v>131</v>
      </c>
      <c r="B132" s="4" t="s">
        <v>363</v>
      </c>
      <c r="C132" s="4" t="s">
        <v>368</v>
      </c>
      <c r="D132" s="4" t="s">
        <v>43</v>
      </c>
      <c r="E132" s="6"/>
      <c r="F132" s="4"/>
      <c r="G132" s="4"/>
      <c r="H132" s="4"/>
      <c r="I132" s="9" t="s">
        <v>75</v>
      </c>
      <c r="J132" s="6">
        <v>0.3</v>
      </c>
      <c r="K132" s="4" t="s">
        <v>369</v>
      </c>
      <c r="L132" s="4" t="s">
        <v>370</v>
      </c>
      <c r="M132" s="4" t="s">
        <v>371</v>
      </c>
      <c r="N132" s="4" t="s">
        <v>107</v>
      </c>
      <c r="O132" s="7" t="s">
        <v>90</v>
      </c>
      <c r="P132" s="6"/>
      <c r="Q132" s="7" t="s">
        <v>90</v>
      </c>
      <c r="R132" s="6"/>
    </row>
    <row r="133" spans="1:18" ht="30" customHeight="1" x14ac:dyDescent="0.35">
      <c r="A133" s="4">
        <v>132</v>
      </c>
      <c r="B133" s="4" t="s">
        <v>363</v>
      </c>
      <c r="C133" s="4" t="s">
        <v>372</v>
      </c>
      <c r="D133" s="4" t="s">
        <v>43</v>
      </c>
      <c r="E133" s="6"/>
      <c r="F133" s="4"/>
      <c r="G133" s="4"/>
      <c r="H133" s="4"/>
      <c r="I133" s="9" t="s">
        <v>75</v>
      </c>
      <c r="J133" s="6">
        <v>0.22</v>
      </c>
      <c r="K133" s="4" t="s">
        <v>373</v>
      </c>
      <c r="L133" s="4" t="s">
        <v>374</v>
      </c>
      <c r="M133" s="4" t="s">
        <v>375</v>
      </c>
      <c r="N133" s="4" t="s">
        <v>107</v>
      </c>
      <c r="O133" s="7" t="s">
        <v>90</v>
      </c>
      <c r="P133" s="6"/>
      <c r="Q133" s="7" t="s">
        <v>90</v>
      </c>
      <c r="R133" s="6"/>
    </row>
    <row r="134" spans="1:18" ht="30" customHeight="1" x14ac:dyDescent="0.35">
      <c r="A134" s="4">
        <v>133</v>
      </c>
      <c r="B134" s="4" t="s">
        <v>376</v>
      </c>
      <c r="C134" s="4" t="s">
        <v>377</v>
      </c>
      <c r="D134" s="4" t="s">
        <v>378</v>
      </c>
      <c r="E134" s="6"/>
      <c r="F134" s="4"/>
      <c r="G134" s="4"/>
      <c r="H134" s="4"/>
      <c r="I134" s="8" t="s">
        <v>47</v>
      </c>
      <c r="J134" s="6">
        <v>1</v>
      </c>
      <c r="K134" s="4"/>
      <c r="L134" s="4" t="s">
        <v>379</v>
      </c>
      <c r="M134" s="4" t="s">
        <v>379</v>
      </c>
      <c r="N134" s="4" t="s">
        <v>107</v>
      </c>
      <c r="O134" s="4" t="s">
        <v>378</v>
      </c>
      <c r="P134" s="6"/>
      <c r="Q134" s="4" t="s">
        <v>378</v>
      </c>
      <c r="R134" s="6"/>
    </row>
    <row r="135" spans="1:18" ht="30" customHeight="1" x14ac:dyDescent="0.35">
      <c r="A135" s="4">
        <v>134</v>
      </c>
      <c r="B135" s="4" t="s">
        <v>376</v>
      </c>
      <c r="C135" s="4" t="s">
        <v>380</v>
      </c>
      <c r="D135" s="4" t="s">
        <v>378</v>
      </c>
      <c r="E135" s="6"/>
      <c r="F135" s="4"/>
      <c r="G135" s="4"/>
      <c r="H135" s="4"/>
      <c r="I135" s="8" t="s">
        <v>47</v>
      </c>
      <c r="J135" s="6">
        <v>1</v>
      </c>
      <c r="K135" s="4"/>
      <c r="L135" s="4" t="s">
        <v>379</v>
      </c>
      <c r="M135" s="4" t="s">
        <v>379</v>
      </c>
      <c r="N135" s="4" t="s">
        <v>107</v>
      </c>
      <c r="O135" s="4" t="s">
        <v>378</v>
      </c>
      <c r="P135" s="6"/>
      <c r="Q135" s="4" t="s">
        <v>378</v>
      </c>
      <c r="R135" s="6"/>
    </row>
    <row r="136" spans="1:18" ht="30" customHeight="1" x14ac:dyDescent="0.35">
      <c r="A136" s="4">
        <v>135</v>
      </c>
      <c r="B136" s="4" t="s">
        <v>376</v>
      </c>
      <c r="C136" s="4" t="s">
        <v>381</v>
      </c>
      <c r="D136" s="8" t="s">
        <v>47</v>
      </c>
      <c r="E136" s="6">
        <v>1</v>
      </c>
      <c r="F136" s="4"/>
      <c r="G136" s="4" t="s">
        <v>379</v>
      </c>
      <c r="H136" s="4" t="s">
        <v>379</v>
      </c>
      <c r="I136" s="8" t="s">
        <v>47</v>
      </c>
      <c r="J136" s="6">
        <v>1</v>
      </c>
      <c r="K136" s="4"/>
      <c r="L136" s="4" t="s">
        <v>379</v>
      </c>
      <c r="M136" s="4" t="s">
        <v>379</v>
      </c>
      <c r="N136" s="4" t="s">
        <v>121</v>
      </c>
      <c r="O136" s="8" t="s">
        <v>47</v>
      </c>
      <c r="P136" s="6">
        <v>1</v>
      </c>
      <c r="Q136" s="8" t="s">
        <v>47</v>
      </c>
      <c r="R136" s="6">
        <v>1</v>
      </c>
    </row>
  </sheetData>
  <autoFilter ref="A1:R136"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zoomScaleNormal="100" workbookViewId="0">
      <selection activeCell="H13" sqref="H13"/>
    </sheetView>
  </sheetViews>
  <sheetFormatPr defaultColWidth="8.6328125" defaultRowHeight="14.5" x14ac:dyDescent="0.35"/>
  <cols>
    <col min="1" max="1" width="30" customWidth="1"/>
    <col min="2" max="10" width="13" customWidth="1"/>
  </cols>
  <sheetData>
    <row r="1" spans="1:10" x14ac:dyDescent="0.35">
      <c r="A1" s="10" t="s">
        <v>382</v>
      </c>
    </row>
    <row r="2" spans="1:10" ht="26" x14ac:dyDescent="0.35">
      <c r="A2" s="3" t="s">
        <v>20</v>
      </c>
      <c r="B2" s="3" t="s">
        <v>383</v>
      </c>
      <c r="C2" s="3" t="s">
        <v>384</v>
      </c>
      <c r="D2" s="3" t="s">
        <v>47</v>
      </c>
      <c r="E2" s="3" t="s">
        <v>39</v>
      </c>
      <c r="F2" s="3" t="s">
        <v>75</v>
      </c>
      <c r="G2" s="3" t="s">
        <v>385</v>
      </c>
      <c r="H2" s="3" t="s">
        <v>386</v>
      </c>
      <c r="I2" s="3" t="s">
        <v>387</v>
      </c>
      <c r="J2" s="3" t="s">
        <v>388</v>
      </c>
    </row>
    <row r="3" spans="1:10" x14ac:dyDescent="0.35">
      <c r="A3" s="2" t="s">
        <v>37</v>
      </c>
      <c r="B3" s="11">
        <f>COUNTIFS('Per field'!$B$2:$B$136,$A3,'Per field'!$D$2:$D$136,"&lt;&gt;Not in sheet")</f>
        <v>11</v>
      </c>
      <c r="C3" s="11">
        <f t="shared" ref="C3:C12" si="0">D3+E3+F3+G3</f>
        <v>8</v>
      </c>
      <c r="D3" s="11">
        <f>COUNTIFS('Per field'!$B$2:$B$136,$A3,'Per field'!$D$2:$D$136,"Identical")</f>
        <v>5</v>
      </c>
      <c r="E3" s="11">
        <f>COUNTIFS('Per field'!$B$2:$B$136,$A3,'Per field'!$D$2:$D$136,"Similar")</f>
        <v>1</v>
      </c>
      <c r="F3" s="11">
        <f>COUNTIFS('Per field'!$B$2:$B$136,$A3,'Per field'!$D$2:$D$136,"Low")</f>
        <v>0</v>
      </c>
      <c r="G3" s="11">
        <f>COUNTIFS('Per field'!$B$2:$B$136,$A3,'Per field'!$D$2:$D$136,"Only A")+COUNTIFS('Per field'!$B$2:$B$136,$A3,'Per field'!$D$2:$D$136,"Only B")</f>
        <v>2</v>
      </c>
      <c r="H3" s="12">
        <f t="shared" ref="H3:H14" si="1">IFERROR(D3/C3,"–")</f>
        <v>0.625</v>
      </c>
      <c r="I3" s="12">
        <f t="shared" ref="I3:I14" si="2">IFERROR((D3+E3)/C3,"–")</f>
        <v>0.75</v>
      </c>
      <c r="J3" s="13">
        <f>IFERROR(AVERAGEIFS('Per field'!$E$2:$E$136,'Per field'!$B$2:$B$136,$A3),"–")</f>
        <v>0.69374999999999998</v>
      </c>
    </row>
    <row r="4" spans="1:10" x14ac:dyDescent="0.35">
      <c r="A4" s="2" t="s">
        <v>67</v>
      </c>
      <c r="B4" s="11">
        <f>COUNTIFS('Per field'!$B$2:$B$136,$A4,'Per field'!$D$2:$D$136,"&lt;&gt;Not in sheet")</f>
        <v>13</v>
      </c>
      <c r="C4" s="11">
        <f t="shared" si="0"/>
        <v>11</v>
      </c>
      <c r="D4" s="11">
        <f>COUNTIFS('Per field'!$B$2:$B$136,$A4,'Per field'!$D$2:$D$136,"Identical")</f>
        <v>2</v>
      </c>
      <c r="E4" s="11">
        <f>COUNTIFS('Per field'!$B$2:$B$136,$A4,'Per field'!$D$2:$D$136,"Similar")</f>
        <v>4</v>
      </c>
      <c r="F4" s="11">
        <f>COUNTIFS('Per field'!$B$2:$B$136,$A4,'Per field'!$D$2:$D$136,"Low")</f>
        <v>3</v>
      </c>
      <c r="G4" s="11">
        <f>COUNTIFS('Per field'!$B$2:$B$136,$A4,'Per field'!$D$2:$D$136,"Only A")+COUNTIFS('Per field'!$B$2:$B$136,$A4,'Per field'!$D$2:$D$136,"Only B")</f>
        <v>2</v>
      </c>
      <c r="H4" s="12">
        <f t="shared" si="1"/>
        <v>0.18181818181818182</v>
      </c>
      <c r="I4" s="12">
        <f t="shared" si="2"/>
        <v>0.54545454545454541</v>
      </c>
      <c r="J4" s="13">
        <f>IFERROR(AVERAGEIFS('Per field'!$E$2:$E$136,'Per field'!$B$2:$B$136,$A4),"–")</f>
        <v>0.53818181818181821</v>
      </c>
    </row>
    <row r="5" spans="1:10" x14ac:dyDescent="0.35">
      <c r="A5" s="2" t="s">
        <v>128</v>
      </c>
      <c r="B5" s="11">
        <f>COUNTIFS('Per field'!$B$2:$B$136,$A5,'Per field'!$D$2:$D$136,"&lt;&gt;Not in sheet")</f>
        <v>25</v>
      </c>
      <c r="C5" s="11">
        <f t="shared" si="0"/>
        <v>11</v>
      </c>
      <c r="D5" s="11">
        <f>COUNTIFS('Per field'!$B$2:$B$136,$A5,'Per field'!$D$2:$D$136,"Identical")</f>
        <v>2</v>
      </c>
      <c r="E5" s="11">
        <f>COUNTIFS('Per field'!$B$2:$B$136,$A5,'Per field'!$D$2:$D$136,"Similar")</f>
        <v>3</v>
      </c>
      <c r="F5" s="11">
        <f>COUNTIFS('Per field'!$B$2:$B$136,$A5,'Per field'!$D$2:$D$136,"Low")</f>
        <v>5</v>
      </c>
      <c r="G5" s="11">
        <f>COUNTIFS('Per field'!$B$2:$B$136,$A5,'Per field'!$D$2:$D$136,"Only A")+COUNTIFS('Per field'!$B$2:$B$136,$A5,'Per field'!$D$2:$D$136,"Only B")</f>
        <v>1</v>
      </c>
      <c r="H5" s="12">
        <f t="shared" si="1"/>
        <v>0.18181818181818182</v>
      </c>
      <c r="I5" s="12">
        <f t="shared" si="2"/>
        <v>0.45454545454545453</v>
      </c>
      <c r="J5" s="13">
        <f>IFERROR(AVERAGEIFS('Per field'!$E$2:$E$136,'Per field'!$B$2:$B$136,$A5),"–")</f>
        <v>0.44999999999999996</v>
      </c>
    </row>
    <row r="6" spans="1:10" x14ac:dyDescent="0.35">
      <c r="A6" s="2" t="s">
        <v>195</v>
      </c>
      <c r="B6" s="11">
        <f>COUNTIFS('Per field'!$B$2:$B$136,$A6,'Per field'!$D$2:$D$136,"&lt;&gt;Not in sheet")</f>
        <v>25</v>
      </c>
      <c r="C6" s="11">
        <f t="shared" si="0"/>
        <v>7</v>
      </c>
      <c r="D6" s="11">
        <f>COUNTIFS('Per field'!$B$2:$B$136,$A6,'Per field'!$D$2:$D$136,"Identical")</f>
        <v>5</v>
      </c>
      <c r="E6" s="11">
        <f>COUNTIFS('Per field'!$B$2:$B$136,$A6,'Per field'!$D$2:$D$136,"Similar")</f>
        <v>2</v>
      </c>
      <c r="F6" s="11">
        <f>COUNTIFS('Per field'!$B$2:$B$136,$A6,'Per field'!$D$2:$D$136,"Low")</f>
        <v>0</v>
      </c>
      <c r="G6" s="11">
        <f>COUNTIFS('Per field'!$B$2:$B$136,$A6,'Per field'!$D$2:$D$136,"Only A")+COUNTIFS('Per field'!$B$2:$B$136,$A6,'Per field'!$D$2:$D$136,"Only B")</f>
        <v>0</v>
      </c>
      <c r="H6" s="12">
        <f t="shared" si="1"/>
        <v>0.7142857142857143</v>
      </c>
      <c r="I6" s="12">
        <f t="shared" si="2"/>
        <v>1</v>
      </c>
      <c r="J6" s="13">
        <f>IFERROR(AVERAGEIFS('Per field'!$E$2:$E$136,'Per field'!$B$2:$B$136,$A6),"–")</f>
        <v>0.94142857142857139</v>
      </c>
    </row>
    <row r="7" spans="1:10" x14ac:dyDescent="0.35">
      <c r="A7" s="2" t="s">
        <v>242</v>
      </c>
      <c r="B7" s="11">
        <f>COUNTIFS('Per field'!$B$2:$B$136,$A7,'Per field'!$D$2:$D$136,"&lt;&gt;Not in sheet")</f>
        <v>11</v>
      </c>
      <c r="C7" s="11">
        <f t="shared" si="0"/>
        <v>1</v>
      </c>
      <c r="D7" s="11">
        <f>COUNTIFS('Per field'!$B$2:$B$136,$A7,'Per field'!$D$2:$D$136,"Identical")</f>
        <v>1</v>
      </c>
      <c r="E7" s="11">
        <f>COUNTIFS('Per field'!$B$2:$B$136,$A7,'Per field'!$D$2:$D$136,"Similar")</f>
        <v>0</v>
      </c>
      <c r="F7" s="11">
        <f>COUNTIFS('Per field'!$B$2:$B$136,$A7,'Per field'!$D$2:$D$136,"Low")</f>
        <v>0</v>
      </c>
      <c r="G7" s="11">
        <f>COUNTIFS('Per field'!$B$2:$B$136,$A7,'Per field'!$D$2:$D$136,"Only A")+COUNTIFS('Per field'!$B$2:$B$136,$A7,'Per field'!$D$2:$D$136,"Only B")</f>
        <v>0</v>
      </c>
      <c r="H7" s="12">
        <f t="shared" si="1"/>
        <v>1</v>
      </c>
      <c r="I7" s="12">
        <f t="shared" si="2"/>
        <v>1</v>
      </c>
      <c r="J7" s="13">
        <f>IFERROR(AVERAGEIFS('Per field'!$E$2:$E$136,'Per field'!$B$2:$B$136,$A7),"–")</f>
        <v>1</v>
      </c>
    </row>
    <row r="8" spans="1:10" x14ac:dyDescent="0.35">
      <c r="A8" s="2" t="s">
        <v>255</v>
      </c>
      <c r="B8" s="11">
        <f>COUNTIFS('Per field'!$B$2:$B$136,$A8,'Per field'!$D$2:$D$136,"&lt;&gt;Not in sheet")</f>
        <v>16</v>
      </c>
      <c r="C8" s="11">
        <f t="shared" si="0"/>
        <v>3</v>
      </c>
      <c r="D8" s="11">
        <f>COUNTIFS('Per field'!$B$2:$B$136,$A8,'Per field'!$D$2:$D$136,"Identical")</f>
        <v>3</v>
      </c>
      <c r="E8" s="11">
        <f>COUNTIFS('Per field'!$B$2:$B$136,$A8,'Per field'!$D$2:$D$136,"Similar")</f>
        <v>0</v>
      </c>
      <c r="F8" s="11">
        <f>COUNTIFS('Per field'!$B$2:$B$136,$A8,'Per field'!$D$2:$D$136,"Low")</f>
        <v>0</v>
      </c>
      <c r="G8" s="11">
        <f>COUNTIFS('Per field'!$B$2:$B$136,$A8,'Per field'!$D$2:$D$136,"Only A")+COUNTIFS('Per field'!$B$2:$B$136,$A8,'Per field'!$D$2:$D$136,"Only B")</f>
        <v>0</v>
      </c>
      <c r="H8" s="12">
        <f t="shared" si="1"/>
        <v>1</v>
      </c>
      <c r="I8" s="12">
        <f t="shared" si="2"/>
        <v>1</v>
      </c>
      <c r="J8" s="13">
        <f>IFERROR(AVERAGEIFS('Per field'!$E$2:$E$136,'Per field'!$B$2:$B$136,$A8),"–")</f>
        <v>1</v>
      </c>
    </row>
    <row r="9" spans="1:10" x14ac:dyDescent="0.35">
      <c r="A9" s="2" t="s">
        <v>291</v>
      </c>
      <c r="B9" s="11">
        <f>COUNTIFS('Per field'!$B$2:$B$136,$A9,'Per field'!$D$2:$D$136,"&lt;&gt;Not in sheet")</f>
        <v>12</v>
      </c>
      <c r="C9" s="11">
        <f t="shared" si="0"/>
        <v>2</v>
      </c>
      <c r="D9" s="11">
        <f>COUNTIFS('Per field'!$B$2:$B$136,$A9,'Per field'!$D$2:$D$136,"Identical")</f>
        <v>2</v>
      </c>
      <c r="E9" s="11">
        <f>COUNTIFS('Per field'!$B$2:$B$136,$A9,'Per field'!$D$2:$D$136,"Similar")</f>
        <v>0</v>
      </c>
      <c r="F9" s="11">
        <f>COUNTIFS('Per field'!$B$2:$B$136,$A9,'Per field'!$D$2:$D$136,"Low")</f>
        <v>0</v>
      </c>
      <c r="G9" s="11">
        <f>COUNTIFS('Per field'!$B$2:$B$136,$A9,'Per field'!$D$2:$D$136,"Only A")+COUNTIFS('Per field'!$B$2:$B$136,$A9,'Per field'!$D$2:$D$136,"Only B")</f>
        <v>0</v>
      </c>
      <c r="H9" s="12">
        <f t="shared" si="1"/>
        <v>1</v>
      </c>
      <c r="I9" s="12">
        <f t="shared" si="2"/>
        <v>1</v>
      </c>
      <c r="J9" s="13">
        <f>IFERROR(AVERAGEIFS('Per field'!$E$2:$E$136,'Per field'!$B$2:$B$136,$A9),"–")</f>
        <v>1</v>
      </c>
    </row>
    <row r="10" spans="1:10" x14ac:dyDescent="0.35">
      <c r="A10" s="2" t="s">
        <v>339</v>
      </c>
      <c r="B10" s="11">
        <f>COUNTIFS('Per field'!$B$2:$B$136,$A10,'Per field'!$D$2:$D$136,"&lt;&gt;Not in sheet")</f>
        <v>15</v>
      </c>
      <c r="C10" s="11">
        <f t="shared" si="0"/>
        <v>3</v>
      </c>
      <c r="D10" s="11">
        <f>COUNTIFS('Per field'!$B$2:$B$136,$A10,'Per field'!$D$2:$D$136,"Identical")</f>
        <v>3</v>
      </c>
      <c r="E10" s="11">
        <f>COUNTIFS('Per field'!$B$2:$B$136,$A10,'Per field'!$D$2:$D$136,"Similar")</f>
        <v>0</v>
      </c>
      <c r="F10" s="11">
        <f>COUNTIFS('Per field'!$B$2:$B$136,$A10,'Per field'!$D$2:$D$136,"Low")</f>
        <v>0</v>
      </c>
      <c r="G10" s="11">
        <f>COUNTIFS('Per field'!$B$2:$B$136,$A10,'Per field'!$D$2:$D$136,"Only A")+COUNTIFS('Per field'!$B$2:$B$136,$A10,'Per field'!$D$2:$D$136,"Only B")</f>
        <v>0</v>
      </c>
      <c r="H10" s="12">
        <f t="shared" si="1"/>
        <v>1</v>
      </c>
      <c r="I10" s="12">
        <f t="shared" si="2"/>
        <v>1</v>
      </c>
      <c r="J10" s="13">
        <f>IFERROR(AVERAGEIFS('Per field'!$E$2:$E$136,'Per field'!$B$2:$B$136,$A10),"–")</f>
        <v>1</v>
      </c>
    </row>
    <row r="11" spans="1:10" x14ac:dyDescent="0.35">
      <c r="A11" s="2" t="s">
        <v>363</v>
      </c>
      <c r="B11" s="11">
        <f>COUNTIFS('Per field'!$B$2:$B$136,$A11,'Per field'!$D$2:$D$136,"&lt;&gt;Not in sheet")</f>
        <v>4</v>
      </c>
      <c r="C11" s="11">
        <f t="shared" si="0"/>
        <v>1</v>
      </c>
      <c r="D11" s="11">
        <f>COUNTIFS('Per field'!$B$2:$B$136,$A11,'Per field'!$D$2:$D$136,"Identical")</f>
        <v>0</v>
      </c>
      <c r="E11" s="11">
        <f>COUNTIFS('Per field'!$B$2:$B$136,$A11,'Per field'!$D$2:$D$136,"Similar")</f>
        <v>0</v>
      </c>
      <c r="F11" s="11">
        <f>COUNTIFS('Per field'!$B$2:$B$136,$A11,'Per field'!$D$2:$D$136,"Low")</f>
        <v>0</v>
      </c>
      <c r="G11" s="11">
        <f>COUNTIFS('Per field'!$B$2:$B$136,$A11,'Per field'!$D$2:$D$136,"Only A")+COUNTIFS('Per field'!$B$2:$B$136,$A11,'Per field'!$D$2:$D$136,"Only B")</f>
        <v>1</v>
      </c>
      <c r="H11" s="12">
        <f t="shared" si="1"/>
        <v>0</v>
      </c>
      <c r="I11" s="12">
        <f t="shared" si="2"/>
        <v>0</v>
      </c>
      <c r="J11" s="13">
        <f>IFERROR(AVERAGEIFS('Per field'!$E$2:$E$136,'Per field'!$B$2:$B$136,$A11),"–")</f>
        <v>0</v>
      </c>
    </row>
    <row r="12" spans="1:10" x14ac:dyDescent="0.35">
      <c r="A12" s="2" t="s">
        <v>376</v>
      </c>
      <c r="B12" s="11">
        <f>COUNTIFS('Per field'!$B$2:$B$136,$A12,'Per field'!$D$2:$D$136,"&lt;&gt;Not in sheet")</f>
        <v>1</v>
      </c>
      <c r="C12" s="11">
        <f t="shared" si="0"/>
        <v>1</v>
      </c>
      <c r="D12" s="11">
        <f>COUNTIFS('Per field'!$B$2:$B$136,$A12,'Per field'!$D$2:$D$136,"Identical")</f>
        <v>1</v>
      </c>
      <c r="E12" s="11">
        <f>COUNTIFS('Per field'!$B$2:$B$136,$A12,'Per field'!$D$2:$D$136,"Similar")</f>
        <v>0</v>
      </c>
      <c r="F12" s="11">
        <f>COUNTIFS('Per field'!$B$2:$B$136,$A12,'Per field'!$D$2:$D$136,"Low")</f>
        <v>0</v>
      </c>
      <c r="G12" s="11">
        <f>COUNTIFS('Per field'!$B$2:$B$136,$A12,'Per field'!$D$2:$D$136,"Only A")+COUNTIFS('Per field'!$B$2:$B$136,$A12,'Per field'!$D$2:$D$136,"Only B")</f>
        <v>0</v>
      </c>
      <c r="H12" s="12">
        <f t="shared" si="1"/>
        <v>1</v>
      </c>
      <c r="I12" s="12">
        <f t="shared" si="2"/>
        <v>1</v>
      </c>
      <c r="J12" s="13">
        <f>IFERROR(AVERAGEIFS('Per field'!$E$2:$E$136,'Per field'!$B$2:$B$136,$A12),"–")</f>
        <v>1</v>
      </c>
    </row>
    <row r="13" spans="1:10" x14ac:dyDescent="0.35">
      <c r="A13" s="14" t="s">
        <v>389</v>
      </c>
      <c r="B13" s="15">
        <f t="shared" ref="B13:G13" si="3">SUM(B3:B11)</f>
        <v>132</v>
      </c>
      <c r="C13" s="15">
        <f t="shared" si="3"/>
        <v>47</v>
      </c>
      <c r="D13" s="15">
        <f t="shared" si="3"/>
        <v>23</v>
      </c>
      <c r="E13" s="15">
        <f t="shared" si="3"/>
        <v>10</v>
      </c>
      <c r="F13" s="15">
        <f t="shared" si="3"/>
        <v>8</v>
      </c>
      <c r="G13" s="15">
        <f t="shared" si="3"/>
        <v>6</v>
      </c>
      <c r="H13" s="16">
        <f t="shared" si="1"/>
        <v>0.48936170212765956</v>
      </c>
      <c r="I13" s="16">
        <f t="shared" si="2"/>
        <v>0.7021276595744681</v>
      </c>
      <c r="J13" s="17">
        <f>IFERROR(SUMPRODUCT(C3:C11,J3:J11)/C13,"–")</f>
        <v>0.68106382978723401</v>
      </c>
    </row>
    <row r="14" spans="1:10" x14ac:dyDescent="0.35">
      <c r="A14" s="14" t="s">
        <v>390</v>
      </c>
      <c r="B14" s="15">
        <f t="shared" ref="B14:G14" si="4">SUM(B3:B12)</f>
        <v>133</v>
      </c>
      <c r="C14" s="15">
        <f t="shared" si="4"/>
        <v>48</v>
      </c>
      <c r="D14" s="15">
        <f t="shared" si="4"/>
        <v>24</v>
      </c>
      <c r="E14" s="15">
        <f t="shared" si="4"/>
        <v>10</v>
      </c>
      <c r="F14" s="15">
        <f t="shared" si="4"/>
        <v>8</v>
      </c>
      <c r="G14" s="15">
        <f t="shared" si="4"/>
        <v>6</v>
      </c>
      <c r="H14" s="16">
        <f t="shared" si="1"/>
        <v>0.5</v>
      </c>
      <c r="I14" s="16">
        <f t="shared" si="2"/>
        <v>0.70833333333333337</v>
      </c>
      <c r="J14" s="17">
        <f>IFERROR(AVERAGE('Per field'!$E$2:$E$136),"–")</f>
        <v>0.68770833333333348</v>
      </c>
    </row>
    <row r="16" spans="1:10" x14ac:dyDescent="0.35">
      <c r="A16" s="10" t="s">
        <v>391</v>
      </c>
    </row>
    <row r="17" spans="1:10" ht="26" x14ac:dyDescent="0.35">
      <c r="A17" s="3" t="s">
        <v>20</v>
      </c>
      <c r="B17" s="3" t="s">
        <v>383</v>
      </c>
      <c r="C17" s="3" t="s">
        <v>384</v>
      </c>
      <c r="D17" s="3" t="s">
        <v>47</v>
      </c>
      <c r="E17" s="3" t="s">
        <v>39</v>
      </c>
      <c r="F17" s="3" t="s">
        <v>75</v>
      </c>
      <c r="G17" s="3" t="s">
        <v>385</v>
      </c>
      <c r="H17" s="3" t="s">
        <v>386</v>
      </c>
      <c r="I17" s="3" t="s">
        <v>387</v>
      </c>
      <c r="J17" s="3" t="s">
        <v>388</v>
      </c>
    </row>
    <row r="18" spans="1:10" x14ac:dyDescent="0.35">
      <c r="A18" s="2" t="s">
        <v>37</v>
      </c>
      <c r="B18" s="11">
        <f>COUNTIFS('Per field'!$B$2:$B$136,$A18,'Per field'!$I$2:$I$136,"&lt;&gt;Not in sheet")</f>
        <v>11</v>
      </c>
      <c r="C18" s="11">
        <f t="shared" ref="C18:C27" si="5">D18+E18+F18+G18</f>
        <v>0</v>
      </c>
      <c r="D18" s="11">
        <f>COUNTIFS('Per field'!$B$2:$B$136,$A18,'Per field'!$I$2:$I$136,"Identical")</f>
        <v>0</v>
      </c>
      <c r="E18" s="11">
        <f>COUNTIFS('Per field'!$B$2:$B$136,$A18,'Per field'!$I$2:$I$136,"Similar")</f>
        <v>0</v>
      </c>
      <c r="F18" s="11">
        <f>COUNTIFS('Per field'!$B$2:$B$136,$A18,'Per field'!$I$2:$I$136,"Low")</f>
        <v>0</v>
      </c>
      <c r="G18" s="11">
        <f>COUNTIFS('Per field'!$B$2:$B$136,$A18,'Per field'!$I$2:$I$136,"Only A")+COUNTIFS('Per field'!$B$2:$B$136,$A18,'Per field'!$I$2:$I$136,"Only B")</f>
        <v>0</v>
      </c>
      <c r="H18" s="12" t="str">
        <f t="shared" ref="H18:H29" si="6">IFERROR(D18/C18,"–")</f>
        <v>–</v>
      </c>
      <c r="I18" s="12" t="str">
        <f t="shared" ref="I18:I29" si="7">IFERROR((D18+E18)/C18,"–")</f>
        <v>–</v>
      </c>
      <c r="J18" s="13" t="str">
        <f>IFERROR(AVERAGEIFS('Per field'!$J$2:$J$136,'Per field'!$B$2:$B$136,$A18),"–")</f>
        <v>–</v>
      </c>
    </row>
    <row r="19" spans="1:10" x14ac:dyDescent="0.35">
      <c r="A19" s="2" t="s">
        <v>67</v>
      </c>
      <c r="B19" s="11">
        <f>COUNTIFS('Per field'!$B$2:$B$136,$A19,'Per field'!$I$2:$I$136,"&lt;&gt;Not in sheet")</f>
        <v>13</v>
      </c>
      <c r="C19" s="11">
        <f t="shared" si="5"/>
        <v>5</v>
      </c>
      <c r="D19" s="11">
        <f>COUNTIFS('Per field'!$B$2:$B$136,$A19,'Per field'!$I$2:$I$136,"Identical")</f>
        <v>0</v>
      </c>
      <c r="E19" s="11">
        <f>COUNTIFS('Per field'!$B$2:$B$136,$A19,'Per field'!$I$2:$I$136,"Similar")</f>
        <v>2</v>
      </c>
      <c r="F19" s="11">
        <f>COUNTIFS('Per field'!$B$2:$B$136,$A19,'Per field'!$I$2:$I$136,"Low")</f>
        <v>2</v>
      </c>
      <c r="G19" s="11">
        <f>COUNTIFS('Per field'!$B$2:$B$136,$A19,'Per field'!$I$2:$I$136,"Only A")+COUNTIFS('Per field'!$B$2:$B$136,$A19,'Per field'!$I$2:$I$136,"Only B")</f>
        <v>1</v>
      </c>
      <c r="H19" s="12">
        <f t="shared" si="6"/>
        <v>0</v>
      </c>
      <c r="I19" s="12">
        <f t="shared" si="7"/>
        <v>0.4</v>
      </c>
      <c r="J19" s="13">
        <f>IFERROR(AVERAGEIFS('Per field'!$J$2:$J$136,'Per field'!$B$2:$B$136,$A19),"–")</f>
        <v>0.41799999999999998</v>
      </c>
    </row>
    <row r="20" spans="1:10" x14ac:dyDescent="0.35">
      <c r="A20" s="2" t="s">
        <v>128</v>
      </c>
      <c r="B20" s="11">
        <f>COUNTIFS('Per field'!$B$2:$B$136,$A20,'Per field'!$I$2:$I$136,"&lt;&gt;Not in sheet")</f>
        <v>25</v>
      </c>
      <c r="C20" s="11">
        <f t="shared" si="5"/>
        <v>5</v>
      </c>
      <c r="D20" s="11">
        <f>COUNTIFS('Per field'!$B$2:$B$136,$A20,'Per field'!$I$2:$I$136,"Identical")</f>
        <v>1</v>
      </c>
      <c r="E20" s="11">
        <f>COUNTIFS('Per field'!$B$2:$B$136,$A20,'Per field'!$I$2:$I$136,"Similar")</f>
        <v>3</v>
      </c>
      <c r="F20" s="11">
        <f>COUNTIFS('Per field'!$B$2:$B$136,$A20,'Per field'!$I$2:$I$136,"Low")</f>
        <v>1</v>
      </c>
      <c r="G20" s="11">
        <f>COUNTIFS('Per field'!$B$2:$B$136,$A20,'Per field'!$I$2:$I$136,"Only A")+COUNTIFS('Per field'!$B$2:$B$136,$A20,'Per field'!$I$2:$I$136,"Only B")</f>
        <v>0</v>
      </c>
      <c r="H20" s="12">
        <f t="shared" si="6"/>
        <v>0.2</v>
      </c>
      <c r="I20" s="12">
        <f t="shared" si="7"/>
        <v>0.8</v>
      </c>
      <c r="J20" s="13">
        <f>IFERROR(AVERAGEIFS('Per field'!$J$2:$J$136,'Per field'!$B$2:$B$136,$A20),"–")</f>
        <v>0.65600000000000003</v>
      </c>
    </row>
    <row r="21" spans="1:10" x14ac:dyDescent="0.35">
      <c r="A21" s="2" t="s">
        <v>195</v>
      </c>
      <c r="B21" s="11">
        <f>COUNTIFS('Per field'!$B$2:$B$136,$A21,'Per field'!$I$2:$I$136,"&lt;&gt;Not in sheet")</f>
        <v>25</v>
      </c>
      <c r="C21" s="11">
        <f t="shared" si="5"/>
        <v>3</v>
      </c>
      <c r="D21" s="11">
        <f>COUNTIFS('Per field'!$B$2:$B$136,$A21,'Per field'!$I$2:$I$136,"Identical")</f>
        <v>0</v>
      </c>
      <c r="E21" s="11">
        <f>COUNTIFS('Per field'!$B$2:$B$136,$A21,'Per field'!$I$2:$I$136,"Similar")</f>
        <v>3</v>
      </c>
      <c r="F21" s="11">
        <f>COUNTIFS('Per field'!$B$2:$B$136,$A21,'Per field'!$I$2:$I$136,"Low")</f>
        <v>0</v>
      </c>
      <c r="G21" s="11">
        <f>COUNTIFS('Per field'!$B$2:$B$136,$A21,'Per field'!$I$2:$I$136,"Only A")+COUNTIFS('Per field'!$B$2:$B$136,$A21,'Per field'!$I$2:$I$136,"Only B")</f>
        <v>0</v>
      </c>
      <c r="H21" s="12">
        <f t="shared" si="6"/>
        <v>0</v>
      </c>
      <c r="I21" s="12">
        <f t="shared" si="7"/>
        <v>1</v>
      </c>
      <c r="J21" s="13">
        <f>IFERROR(AVERAGEIFS('Per field'!$J$2:$J$136,'Per field'!$B$2:$B$136,$A21),"–")</f>
        <v>0.75666666666666671</v>
      </c>
    </row>
    <row r="22" spans="1:10" x14ac:dyDescent="0.35">
      <c r="A22" s="2" t="s">
        <v>242</v>
      </c>
      <c r="B22" s="11">
        <f>COUNTIFS('Per field'!$B$2:$B$136,$A22,'Per field'!$I$2:$I$136,"&lt;&gt;Not in sheet")</f>
        <v>11</v>
      </c>
      <c r="C22" s="11">
        <f t="shared" si="5"/>
        <v>0</v>
      </c>
      <c r="D22" s="11">
        <f>COUNTIFS('Per field'!$B$2:$B$136,$A22,'Per field'!$I$2:$I$136,"Identical")</f>
        <v>0</v>
      </c>
      <c r="E22" s="11">
        <f>COUNTIFS('Per field'!$B$2:$B$136,$A22,'Per field'!$I$2:$I$136,"Similar")</f>
        <v>0</v>
      </c>
      <c r="F22" s="11">
        <f>COUNTIFS('Per field'!$B$2:$B$136,$A22,'Per field'!$I$2:$I$136,"Low")</f>
        <v>0</v>
      </c>
      <c r="G22" s="11">
        <f>COUNTIFS('Per field'!$B$2:$B$136,$A22,'Per field'!$I$2:$I$136,"Only A")+COUNTIFS('Per field'!$B$2:$B$136,$A22,'Per field'!$I$2:$I$136,"Only B")</f>
        <v>0</v>
      </c>
      <c r="H22" s="12" t="str">
        <f t="shared" si="6"/>
        <v>–</v>
      </c>
      <c r="I22" s="12" t="str">
        <f t="shared" si="7"/>
        <v>–</v>
      </c>
      <c r="J22" s="13" t="str">
        <f>IFERROR(AVERAGEIFS('Per field'!$J$2:$J$136,'Per field'!$B$2:$B$136,$A22),"–")</f>
        <v>–</v>
      </c>
    </row>
    <row r="23" spans="1:10" x14ac:dyDescent="0.35">
      <c r="A23" s="2" t="s">
        <v>255</v>
      </c>
      <c r="B23" s="11">
        <f>COUNTIFS('Per field'!$B$2:$B$136,$A23,'Per field'!$I$2:$I$136,"&lt;&gt;Not in sheet")</f>
        <v>16</v>
      </c>
      <c r="C23" s="11">
        <f t="shared" si="5"/>
        <v>6</v>
      </c>
      <c r="D23" s="11">
        <f>COUNTIFS('Per field'!$B$2:$B$136,$A23,'Per field'!$I$2:$I$136,"Identical")</f>
        <v>0</v>
      </c>
      <c r="E23" s="11">
        <f>COUNTIFS('Per field'!$B$2:$B$136,$A23,'Per field'!$I$2:$I$136,"Similar")</f>
        <v>2</v>
      </c>
      <c r="F23" s="11">
        <f>COUNTIFS('Per field'!$B$2:$B$136,$A23,'Per field'!$I$2:$I$136,"Low")</f>
        <v>1</v>
      </c>
      <c r="G23" s="11">
        <f>COUNTIFS('Per field'!$B$2:$B$136,$A23,'Per field'!$I$2:$I$136,"Only A")+COUNTIFS('Per field'!$B$2:$B$136,$A23,'Per field'!$I$2:$I$136,"Only B")</f>
        <v>3</v>
      </c>
      <c r="H23" s="12">
        <f t="shared" si="6"/>
        <v>0</v>
      </c>
      <c r="I23" s="12">
        <f t="shared" si="7"/>
        <v>0.33333333333333331</v>
      </c>
      <c r="J23" s="13">
        <f>IFERROR(AVERAGEIFS('Per field'!$J$2:$J$136,'Per field'!$B$2:$B$136,$A23),"–")</f>
        <v>0.22500000000000001</v>
      </c>
    </row>
    <row r="24" spans="1:10" x14ac:dyDescent="0.35">
      <c r="A24" s="2" t="s">
        <v>291</v>
      </c>
      <c r="B24" s="11">
        <f>COUNTIFS('Per field'!$B$2:$B$136,$A24,'Per field'!$I$2:$I$136,"&lt;&gt;Not in sheet")</f>
        <v>12</v>
      </c>
      <c r="C24" s="11">
        <f t="shared" si="5"/>
        <v>11</v>
      </c>
      <c r="D24" s="11">
        <f>COUNTIFS('Per field'!$B$2:$B$136,$A24,'Per field'!$I$2:$I$136,"Identical")</f>
        <v>0</v>
      </c>
      <c r="E24" s="11">
        <f>COUNTIFS('Per field'!$B$2:$B$136,$A24,'Per field'!$I$2:$I$136,"Similar")</f>
        <v>1</v>
      </c>
      <c r="F24" s="11">
        <f>COUNTIFS('Per field'!$B$2:$B$136,$A24,'Per field'!$I$2:$I$136,"Low")</f>
        <v>10</v>
      </c>
      <c r="G24" s="11">
        <f>COUNTIFS('Per field'!$B$2:$B$136,$A24,'Per field'!$I$2:$I$136,"Only A")+COUNTIFS('Per field'!$B$2:$B$136,$A24,'Per field'!$I$2:$I$136,"Only B")</f>
        <v>0</v>
      </c>
      <c r="H24" s="12">
        <f t="shared" si="6"/>
        <v>0</v>
      </c>
      <c r="I24" s="12">
        <f t="shared" si="7"/>
        <v>9.0909090909090912E-2</v>
      </c>
      <c r="J24" s="13">
        <f>IFERROR(AVERAGEIFS('Per field'!$J$2:$J$136,'Per field'!$B$2:$B$136,$A24),"–")</f>
        <v>0.33363636363636362</v>
      </c>
    </row>
    <row r="25" spans="1:10" x14ac:dyDescent="0.35">
      <c r="A25" s="2" t="s">
        <v>339</v>
      </c>
      <c r="B25" s="11">
        <f>COUNTIFS('Per field'!$B$2:$B$136,$A25,'Per field'!$I$2:$I$136,"&lt;&gt;Not in sheet")</f>
        <v>15</v>
      </c>
      <c r="C25" s="11">
        <f t="shared" si="5"/>
        <v>2</v>
      </c>
      <c r="D25" s="11">
        <f>COUNTIFS('Per field'!$B$2:$B$136,$A25,'Per field'!$I$2:$I$136,"Identical")</f>
        <v>1</v>
      </c>
      <c r="E25" s="11">
        <f>COUNTIFS('Per field'!$B$2:$B$136,$A25,'Per field'!$I$2:$I$136,"Similar")</f>
        <v>1</v>
      </c>
      <c r="F25" s="11">
        <f>COUNTIFS('Per field'!$B$2:$B$136,$A25,'Per field'!$I$2:$I$136,"Low")</f>
        <v>0</v>
      </c>
      <c r="G25" s="11">
        <f>COUNTIFS('Per field'!$B$2:$B$136,$A25,'Per field'!$I$2:$I$136,"Only A")+COUNTIFS('Per field'!$B$2:$B$136,$A25,'Per field'!$I$2:$I$136,"Only B")</f>
        <v>0</v>
      </c>
      <c r="H25" s="12">
        <f t="shared" si="6"/>
        <v>0.5</v>
      </c>
      <c r="I25" s="12">
        <f t="shared" si="7"/>
        <v>1</v>
      </c>
      <c r="J25" s="13">
        <f>IFERROR(AVERAGEIFS('Per field'!$J$2:$J$136,'Per field'!$B$2:$B$136,$A25),"–")</f>
        <v>0.92500000000000004</v>
      </c>
    </row>
    <row r="26" spans="1:10" x14ac:dyDescent="0.35">
      <c r="A26" s="2" t="s">
        <v>363</v>
      </c>
      <c r="B26" s="11">
        <f>COUNTIFS('Per field'!$B$2:$B$136,$A26,'Per field'!$I$2:$I$136,"&lt;&gt;Not in sheet")</f>
        <v>4</v>
      </c>
      <c r="C26" s="11">
        <f t="shared" si="5"/>
        <v>2</v>
      </c>
      <c r="D26" s="11">
        <f>COUNTIFS('Per field'!$B$2:$B$136,$A26,'Per field'!$I$2:$I$136,"Identical")</f>
        <v>0</v>
      </c>
      <c r="E26" s="11">
        <f>COUNTIFS('Per field'!$B$2:$B$136,$A26,'Per field'!$I$2:$I$136,"Similar")</f>
        <v>0</v>
      </c>
      <c r="F26" s="11">
        <f>COUNTIFS('Per field'!$B$2:$B$136,$A26,'Per field'!$I$2:$I$136,"Low")</f>
        <v>2</v>
      </c>
      <c r="G26" s="11">
        <f>COUNTIFS('Per field'!$B$2:$B$136,$A26,'Per field'!$I$2:$I$136,"Only A")+COUNTIFS('Per field'!$B$2:$B$136,$A26,'Per field'!$I$2:$I$136,"Only B")</f>
        <v>0</v>
      </c>
      <c r="H26" s="12">
        <f t="shared" si="6"/>
        <v>0</v>
      </c>
      <c r="I26" s="12">
        <f t="shared" si="7"/>
        <v>0</v>
      </c>
      <c r="J26" s="13">
        <f>IFERROR(AVERAGEIFS('Per field'!$J$2:$J$136,'Per field'!$B$2:$B$136,$A26),"–")</f>
        <v>0.26</v>
      </c>
    </row>
    <row r="27" spans="1:10" x14ac:dyDescent="0.35">
      <c r="A27" s="2" t="s">
        <v>376</v>
      </c>
      <c r="B27" s="11">
        <f>COUNTIFS('Per field'!$B$2:$B$136,$A27,'Per field'!$I$2:$I$136,"&lt;&gt;Not in sheet")</f>
        <v>3</v>
      </c>
      <c r="C27" s="11">
        <f t="shared" si="5"/>
        <v>3</v>
      </c>
      <c r="D27" s="11">
        <f>COUNTIFS('Per field'!$B$2:$B$136,$A27,'Per field'!$I$2:$I$136,"Identical")</f>
        <v>3</v>
      </c>
      <c r="E27" s="11">
        <f>COUNTIFS('Per field'!$B$2:$B$136,$A27,'Per field'!$I$2:$I$136,"Similar")</f>
        <v>0</v>
      </c>
      <c r="F27" s="11">
        <f>COUNTIFS('Per field'!$B$2:$B$136,$A27,'Per field'!$I$2:$I$136,"Low")</f>
        <v>0</v>
      </c>
      <c r="G27" s="11">
        <f>COUNTIFS('Per field'!$B$2:$B$136,$A27,'Per field'!$I$2:$I$136,"Only A")+COUNTIFS('Per field'!$B$2:$B$136,$A27,'Per field'!$I$2:$I$136,"Only B")</f>
        <v>0</v>
      </c>
      <c r="H27" s="12">
        <f t="shared" si="6"/>
        <v>1</v>
      </c>
      <c r="I27" s="12">
        <f t="shared" si="7"/>
        <v>1</v>
      </c>
      <c r="J27" s="13">
        <f>IFERROR(AVERAGEIFS('Per field'!$J$2:$J$136,'Per field'!$B$2:$B$136,$A27),"–")</f>
        <v>1</v>
      </c>
    </row>
    <row r="28" spans="1:10" x14ac:dyDescent="0.35">
      <c r="A28" s="14" t="s">
        <v>389</v>
      </c>
      <c r="B28" s="15">
        <f t="shared" ref="B28:G28" si="8">SUM(B18:B26)</f>
        <v>132</v>
      </c>
      <c r="C28" s="15">
        <f t="shared" si="8"/>
        <v>34</v>
      </c>
      <c r="D28" s="15">
        <f t="shared" si="8"/>
        <v>2</v>
      </c>
      <c r="E28" s="15">
        <f t="shared" si="8"/>
        <v>12</v>
      </c>
      <c r="F28" s="15">
        <f t="shared" si="8"/>
        <v>16</v>
      </c>
      <c r="G28" s="15">
        <f t="shared" si="8"/>
        <v>4</v>
      </c>
      <c r="H28" s="16">
        <f t="shared" si="6"/>
        <v>5.8823529411764705E-2</v>
      </c>
      <c r="I28" s="16">
        <f t="shared" si="7"/>
        <v>0.41176470588235292</v>
      </c>
      <c r="J28" s="17">
        <f>IFERROR(SUMPRODUCT(C18:C26,J18:J26)/C28,"–")</f>
        <v>0.44205882352941173</v>
      </c>
    </row>
    <row r="29" spans="1:10" x14ac:dyDescent="0.35">
      <c r="A29" s="14" t="s">
        <v>390</v>
      </c>
      <c r="B29" s="15">
        <f t="shared" ref="B29:G29" si="9">SUM(B18:B27)</f>
        <v>135</v>
      </c>
      <c r="C29" s="15">
        <f t="shared" si="9"/>
        <v>37</v>
      </c>
      <c r="D29" s="15">
        <f t="shared" si="9"/>
        <v>5</v>
      </c>
      <c r="E29" s="15">
        <f t="shared" si="9"/>
        <v>12</v>
      </c>
      <c r="F29" s="15">
        <f t="shared" si="9"/>
        <v>16</v>
      </c>
      <c r="G29" s="15">
        <f t="shared" si="9"/>
        <v>4</v>
      </c>
      <c r="H29" s="16">
        <f t="shared" si="6"/>
        <v>0.13513513513513514</v>
      </c>
      <c r="I29" s="16">
        <f t="shared" si="7"/>
        <v>0.45945945945945948</v>
      </c>
      <c r="J29" s="17">
        <f>IFERROR(AVERAGE('Per field'!$J$2:$J$136),"–")</f>
        <v>0.48729729729729732</v>
      </c>
    </row>
    <row r="31" spans="1:10" x14ac:dyDescent="0.35">
      <c r="A31" s="10" t="s">
        <v>392</v>
      </c>
    </row>
    <row r="32" spans="1:10" ht="39" x14ac:dyDescent="0.35">
      <c r="A32" s="3" t="s">
        <v>20</v>
      </c>
      <c r="B32" s="3" t="s">
        <v>383</v>
      </c>
      <c r="C32" s="3" t="s">
        <v>393</v>
      </c>
      <c r="D32" s="3" t="s">
        <v>47</v>
      </c>
      <c r="E32" s="3" t="s">
        <v>39</v>
      </c>
      <c r="F32" s="3" t="s">
        <v>75</v>
      </c>
      <c r="G32" s="3" t="s">
        <v>394</v>
      </c>
      <c r="H32" s="3" t="s">
        <v>386</v>
      </c>
      <c r="I32" s="3" t="s">
        <v>387</v>
      </c>
      <c r="J32" s="3" t="s">
        <v>388</v>
      </c>
    </row>
    <row r="33" spans="1:10" x14ac:dyDescent="0.35">
      <c r="A33" s="2" t="s">
        <v>37</v>
      </c>
      <c r="B33" s="11">
        <f>COUNTIFS('Per field'!$B$2:$B$136,$A33,'Per field'!$O$2:$O$136,"&lt;&gt;Not in sheet")</f>
        <v>11</v>
      </c>
      <c r="C33" s="11">
        <f t="shared" ref="C33:C42" si="10">D33+E33+F33</f>
        <v>0</v>
      </c>
      <c r="D33" s="11">
        <f>COUNTIFS('Per field'!$B$2:$B$136,$A33,'Per field'!$O$2:$O$136,"Identical")</f>
        <v>0</v>
      </c>
      <c r="E33" s="11">
        <f>COUNTIFS('Per field'!$B$2:$B$136,$A33,'Per field'!$O$2:$O$136,"Similar")</f>
        <v>0</v>
      </c>
      <c r="F33" s="11">
        <f>COUNTIFS('Per field'!$B$2:$B$136,$A33,'Per field'!$O$2:$O$136,"Low")</f>
        <v>0</v>
      </c>
      <c r="G33" s="11">
        <f>COUNTIFS('Per field'!$B$2:$B$136,$A33,'Per field'!$O$2:$O$136,"Only Flash")+COUNTIFS('Per field'!$B$2:$B$136,$A33,'Per field'!$O$2:$O$136,"Only Pro")</f>
        <v>7</v>
      </c>
      <c r="H33" s="12" t="str">
        <f t="shared" ref="H33:H44" si="11">IFERROR(D33/C33,"–")</f>
        <v>–</v>
      </c>
      <c r="I33" s="12" t="str">
        <f t="shared" ref="I33:I44" si="12">IFERROR((D33+E33)/C33,"–")</f>
        <v>–</v>
      </c>
      <c r="J33" s="13" t="str">
        <f>IFERROR(AVERAGEIFS('Per field'!$P$2:$P$136,'Per field'!$B$2:$B$136,$A33),"–")</f>
        <v>–</v>
      </c>
    </row>
    <row r="34" spans="1:10" x14ac:dyDescent="0.35">
      <c r="A34" s="2" t="s">
        <v>67</v>
      </c>
      <c r="B34" s="11">
        <f>COUNTIFS('Per field'!$B$2:$B$136,$A34,'Per field'!$O$2:$O$136,"&lt;&gt;Not in sheet")</f>
        <v>13</v>
      </c>
      <c r="C34" s="11">
        <f t="shared" si="10"/>
        <v>4</v>
      </c>
      <c r="D34" s="11">
        <f>COUNTIFS('Per field'!$B$2:$B$136,$A34,'Per field'!$O$2:$O$136,"Identical")</f>
        <v>0</v>
      </c>
      <c r="E34" s="11">
        <f>COUNTIFS('Per field'!$B$2:$B$136,$A34,'Per field'!$O$2:$O$136,"Similar")</f>
        <v>1</v>
      </c>
      <c r="F34" s="11">
        <f>COUNTIFS('Per field'!$B$2:$B$136,$A34,'Per field'!$O$2:$O$136,"Low")</f>
        <v>3</v>
      </c>
      <c r="G34" s="11">
        <f>COUNTIFS('Per field'!$B$2:$B$136,$A34,'Per field'!$O$2:$O$136,"Only Flash")+COUNTIFS('Per field'!$B$2:$B$136,$A34,'Per field'!$O$2:$O$136,"Only Pro")</f>
        <v>8</v>
      </c>
      <c r="H34" s="12">
        <f t="shared" si="11"/>
        <v>0</v>
      </c>
      <c r="I34" s="12">
        <f t="shared" si="12"/>
        <v>0.25</v>
      </c>
      <c r="J34" s="13">
        <f>IFERROR(AVERAGEIFS('Per field'!$P$2:$P$136,'Per field'!$B$2:$B$136,$A34),"–")</f>
        <v>0.3775</v>
      </c>
    </row>
    <row r="35" spans="1:10" x14ac:dyDescent="0.35">
      <c r="A35" s="2" t="s">
        <v>128</v>
      </c>
      <c r="B35" s="11">
        <f>COUNTIFS('Per field'!$B$2:$B$136,$A35,'Per field'!$O$2:$O$136,"&lt;&gt;Not in sheet")</f>
        <v>25</v>
      </c>
      <c r="C35" s="11">
        <f t="shared" si="10"/>
        <v>5</v>
      </c>
      <c r="D35" s="11">
        <f>COUNTIFS('Per field'!$B$2:$B$136,$A35,'Per field'!$O$2:$O$136,"Identical")</f>
        <v>0</v>
      </c>
      <c r="E35" s="11">
        <f>COUNTIFS('Per field'!$B$2:$B$136,$A35,'Per field'!$O$2:$O$136,"Similar")</f>
        <v>2</v>
      </c>
      <c r="F35" s="11">
        <f>COUNTIFS('Per field'!$B$2:$B$136,$A35,'Per field'!$O$2:$O$136,"Low")</f>
        <v>3</v>
      </c>
      <c r="G35" s="11">
        <f>COUNTIFS('Per field'!$B$2:$B$136,$A35,'Per field'!$O$2:$O$136,"Only Flash")+COUNTIFS('Per field'!$B$2:$B$136,$A35,'Per field'!$O$2:$O$136,"Only Pro")</f>
        <v>5</v>
      </c>
      <c r="H35" s="12">
        <f t="shared" si="11"/>
        <v>0</v>
      </c>
      <c r="I35" s="12">
        <f t="shared" si="12"/>
        <v>0.4</v>
      </c>
      <c r="J35" s="13">
        <f>IFERROR(AVERAGEIFS('Per field'!$P$2:$P$136,'Per field'!$B$2:$B$136,$A35),"–")</f>
        <v>0.42599999999999999</v>
      </c>
    </row>
    <row r="36" spans="1:10" x14ac:dyDescent="0.35">
      <c r="A36" s="2" t="s">
        <v>195</v>
      </c>
      <c r="B36" s="11">
        <f>COUNTIFS('Per field'!$B$2:$B$136,$A36,'Per field'!$O$2:$O$136,"&lt;&gt;Not in sheet")</f>
        <v>25</v>
      </c>
      <c r="C36" s="11">
        <f t="shared" si="10"/>
        <v>3</v>
      </c>
      <c r="D36" s="11">
        <f>COUNTIFS('Per field'!$B$2:$B$136,$A36,'Per field'!$O$2:$O$136,"Identical")</f>
        <v>0</v>
      </c>
      <c r="E36" s="11">
        <f>COUNTIFS('Per field'!$B$2:$B$136,$A36,'Per field'!$O$2:$O$136,"Similar")</f>
        <v>3</v>
      </c>
      <c r="F36" s="11">
        <f>COUNTIFS('Per field'!$B$2:$B$136,$A36,'Per field'!$O$2:$O$136,"Low")</f>
        <v>0</v>
      </c>
      <c r="G36" s="11">
        <f>COUNTIFS('Per field'!$B$2:$B$136,$A36,'Per field'!$O$2:$O$136,"Only Flash")+COUNTIFS('Per field'!$B$2:$B$136,$A36,'Per field'!$O$2:$O$136,"Only Pro")</f>
        <v>4</v>
      </c>
      <c r="H36" s="12">
        <f t="shared" si="11"/>
        <v>0</v>
      </c>
      <c r="I36" s="12">
        <f t="shared" si="12"/>
        <v>1</v>
      </c>
      <c r="J36" s="13">
        <f>IFERROR(AVERAGEIFS('Per field'!$P$2:$P$136,'Per field'!$B$2:$B$136,$A36),"–")</f>
        <v>0.62</v>
      </c>
    </row>
    <row r="37" spans="1:10" x14ac:dyDescent="0.35">
      <c r="A37" s="2" t="s">
        <v>242</v>
      </c>
      <c r="B37" s="11">
        <f>COUNTIFS('Per field'!$B$2:$B$136,$A37,'Per field'!$O$2:$O$136,"&lt;&gt;Not in sheet")</f>
        <v>11</v>
      </c>
      <c r="C37" s="11">
        <f t="shared" si="10"/>
        <v>0</v>
      </c>
      <c r="D37" s="11">
        <f>COUNTIFS('Per field'!$B$2:$B$136,$A37,'Per field'!$O$2:$O$136,"Identical")</f>
        <v>0</v>
      </c>
      <c r="E37" s="11">
        <f>COUNTIFS('Per field'!$B$2:$B$136,$A37,'Per field'!$O$2:$O$136,"Similar")</f>
        <v>0</v>
      </c>
      <c r="F37" s="11">
        <f>COUNTIFS('Per field'!$B$2:$B$136,$A37,'Per field'!$O$2:$O$136,"Low")</f>
        <v>0</v>
      </c>
      <c r="G37" s="11">
        <f>COUNTIFS('Per field'!$B$2:$B$136,$A37,'Per field'!$O$2:$O$136,"Only Flash")+COUNTIFS('Per field'!$B$2:$B$136,$A37,'Per field'!$O$2:$O$136,"Only Pro")</f>
        <v>1</v>
      </c>
      <c r="H37" s="12" t="str">
        <f t="shared" si="11"/>
        <v>–</v>
      </c>
      <c r="I37" s="12" t="str">
        <f t="shared" si="12"/>
        <v>–</v>
      </c>
      <c r="J37" s="13" t="str">
        <f>IFERROR(AVERAGEIFS('Per field'!$P$2:$P$136,'Per field'!$B$2:$B$136,$A37),"–")</f>
        <v>–</v>
      </c>
    </row>
    <row r="38" spans="1:10" x14ac:dyDescent="0.35">
      <c r="A38" s="2" t="s">
        <v>255</v>
      </c>
      <c r="B38" s="11">
        <f>COUNTIFS('Per field'!$B$2:$B$136,$A38,'Per field'!$O$2:$O$136,"&lt;&gt;Not in sheet")</f>
        <v>16</v>
      </c>
      <c r="C38" s="11">
        <f t="shared" si="10"/>
        <v>0</v>
      </c>
      <c r="D38" s="11">
        <f>COUNTIFS('Per field'!$B$2:$B$136,$A38,'Per field'!$O$2:$O$136,"Identical")</f>
        <v>0</v>
      </c>
      <c r="E38" s="11">
        <f>COUNTIFS('Per field'!$B$2:$B$136,$A38,'Per field'!$O$2:$O$136,"Similar")</f>
        <v>0</v>
      </c>
      <c r="F38" s="11">
        <f>COUNTIFS('Per field'!$B$2:$B$136,$A38,'Per field'!$O$2:$O$136,"Low")</f>
        <v>0</v>
      </c>
      <c r="G38" s="11">
        <f>COUNTIFS('Per field'!$B$2:$B$136,$A38,'Per field'!$O$2:$O$136,"Only Flash")+COUNTIFS('Per field'!$B$2:$B$136,$A38,'Per field'!$O$2:$O$136,"Only Pro")</f>
        <v>9</v>
      </c>
      <c r="H38" s="12" t="str">
        <f t="shared" si="11"/>
        <v>–</v>
      </c>
      <c r="I38" s="12" t="str">
        <f t="shared" si="12"/>
        <v>–</v>
      </c>
      <c r="J38" s="13" t="str">
        <f>IFERROR(AVERAGEIFS('Per field'!$P$2:$P$136,'Per field'!$B$2:$B$136,$A38),"–")</f>
        <v>–</v>
      </c>
    </row>
    <row r="39" spans="1:10" x14ac:dyDescent="0.35">
      <c r="A39" s="2" t="s">
        <v>291</v>
      </c>
      <c r="B39" s="11">
        <f>COUNTIFS('Per field'!$B$2:$B$136,$A39,'Per field'!$O$2:$O$136,"&lt;&gt;Not in sheet")</f>
        <v>12</v>
      </c>
      <c r="C39" s="11">
        <f t="shared" si="10"/>
        <v>2</v>
      </c>
      <c r="D39" s="11">
        <f>COUNTIFS('Per field'!$B$2:$B$136,$A39,'Per field'!$O$2:$O$136,"Identical")</f>
        <v>0</v>
      </c>
      <c r="E39" s="11">
        <f>COUNTIFS('Per field'!$B$2:$B$136,$A39,'Per field'!$O$2:$O$136,"Similar")</f>
        <v>0</v>
      </c>
      <c r="F39" s="11">
        <f>COUNTIFS('Per field'!$B$2:$B$136,$A39,'Per field'!$O$2:$O$136,"Low")</f>
        <v>2</v>
      </c>
      <c r="G39" s="11">
        <f>COUNTIFS('Per field'!$B$2:$B$136,$A39,'Per field'!$O$2:$O$136,"Only Flash")+COUNTIFS('Per field'!$B$2:$B$136,$A39,'Per field'!$O$2:$O$136,"Only Pro")</f>
        <v>9</v>
      </c>
      <c r="H39" s="12">
        <f t="shared" si="11"/>
        <v>0</v>
      </c>
      <c r="I39" s="12">
        <f t="shared" si="12"/>
        <v>0</v>
      </c>
      <c r="J39" s="13">
        <f>IFERROR(AVERAGEIFS('Per field'!$P$2:$P$136,'Per field'!$B$2:$B$136,$A39),"–")</f>
        <v>0.23500000000000001</v>
      </c>
    </row>
    <row r="40" spans="1:10" x14ac:dyDescent="0.35">
      <c r="A40" s="2" t="s">
        <v>339</v>
      </c>
      <c r="B40" s="11">
        <f>COUNTIFS('Per field'!$B$2:$B$136,$A40,'Per field'!$O$2:$O$136,"&lt;&gt;Not in sheet")</f>
        <v>15</v>
      </c>
      <c r="C40" s="11">
        <f t="shared" si="10"/>
        <v>1</v>
      </c>
      <c r="D40" s="11">
        <f>COUNTIFS('Per field'!$B$2:$B$136,$A40,'Per field'!$O$2:$O$136,"Identical")</f>
        <v>1</v>
      </c>
      <c r="E40" s="11">
        <f>COUNTIFS('Per field'!$B$2:$B$136,$A40,'Per field'!$O$2:$O$136,"Similar")</f>
        <v>0</v>
      </c>
      <c r="F40" s="11">
        <f>COUNTIFS('Per field'!$B$2:$B$136,$A40,'Per field'!$O$2:$O$136,"Low")</f>
        <v>0</v>
      </c>
      <c r="G40" s="11">
        <f>COUNTIFS('Per field'!$B$2:$B$136,$A40,'Per field'!$O$2:$O$136,"Only Flash")+COUNTIFS('Per field'!$B$2:$B$136,$A40,'Per field'!$O$2:$O$136,"Only Pro")</f>
        <v>3</v>
      </c>
      <c r="H40" s="12">
        <f t="shared" si="11"/>
        <v>1</v>
      </c>
      <c r="I40" s="12">
        <f t="shared" si="12"/>
        <v>1</v>
      </c>
      <c r="J40" s="13">
        <f>IFERROR(AVERAGEIFS('Per field'!$P$2:$P$136,'Per field'!$B$2:$B$136,$A40),"–")</f>
        <v>1</v>
      </c>
    </row>
    <row r="41" spans="1:10" x14ac:dyDescent="0.35">
      <c r="A41" s="2" t="s">
        <v>363</v>
      </c>
      <c r="B41" s="11">
        <f>COUNTIFS('Per field'!$B$2:$B$136,$A41,'Per field'!$O$2:$O$136,"&lt;&gt;Not in sheet")</f>
        <v>4</v>
      </c>
      <c r="C41" s="11">
        <f t="shared" si="10"/>
        <v>0</v>
      </c>
      <c r="D41" s="11">
        <f>COUNTIFS('Per field'!$B$2:$B$136,$A41,'Per field'!$O$2:$O$136,"Identical")</f>
        <v>0</v>
      </c>
      <c r="E41" s="11">
        <f>COUNTIFS('Per field'!$B$2:$B$136,$A41,'Per field'!$O$2:$O$136,"Similar")</f>
        <v>0</v>
      </c>
      <c r="F41" s="11">
        <f>COUNTIFS('Per field'!$B$2:$B$136,$A41,'Per field'!$O$2:$O$136,"Low")</f>
        <v>0</v>
      </c>
      <c r="G41" s="11">
        <f>COUNTIFS('Per field'!$B$2:$B$136,$A41,'Per field'!$O$2:$O$136,"Only Flash")+COUNTIFS('Per field'!$B$2:$B$136,$A41,'Per field'!$O$2:$O$136,"Only Pro")</f>
        <v>2</v>
      </c>
      <c r="H41" s="12" t="str">
        <f t="shared" si="11"/>
        <v>–</v>
      </c>
      <c r="I41" s="12" t="str">
        <f t="shared" si="12"/>
        <v>–</v>
      </c>
      <c r="J41" s="13" t="str">
        <f>IFERROR(AVERAGEIFS('Per field'!$P$2:$P$136,'Per field'!$B$2:$B$136,$A41),"–")</f>
        <v>–</v>
      </c>
    </row>
    <row r="42" spans="1:10" x14ac:dyDescent="0.35">
      <c r="A42" s="2" t="s">
        <v>376</v>
      </c>
      <c r="B42" s="11">
        <f>COUNTIFS('Per field'!$B$2:$B$136,$A42,'Per field'!$O$2:$O$136,"&lt;&gt;Not in sheet")</f>
        <v>1</v>
      </c>
      <c r="C42" s="11">
        <f t="shared" si="10"/>
        <v>1</v>
      </c>
      <c r="D42" s="11">
        <f>COUNTIFS('Per field'!$B$2:$B$136,$A42,'Per field'!$O$2:$O$136,"Identical")</f>
        <v>1</v>
      </c>
      <c r="E42" s="11">
        <f>COUNTIFS('Per field'!$B$2:$B$136,$A42,'Per field'!$O$2:$O$136,"Similar")</f>
        <v>0</v>
      </c>
      <c r="F42" s="11">
        <f>COUNTIFS('Per field'!$B$2:$B$136,$A42,'Per field'!$O$2:$O$136,"Low")</f>
        <v>0</v>
      </c>
      <c r="G42" s="11">
        <f>COUNTIFS('Per field'!$B$2:$B$136,$A42,'Per field'!$O$2:$O$136,"Only Flash")+COUNTIFS('Per field'!$B$2:$B$136,$A42,'Per field'!$O$2:$O$136,"Only Pro")</f>
        <v>0</v>
      </c>
      <c r="H42" s="12">
        <f t="shared" si="11"/>
        <v>1</v>
      </c>
      <c r="I42" s="12">
        <f t="shared" si="12"/>
        <v>1</v>
      </c>
      <c r="J42" s="13">
        <f>IFERROR(AVERAGEIFS('Per field'!$P$2:$P$136,'Per field'!$B$2:$B$136,$A42),"–")</f>
        <v>1</v>
      </c>
    </row>
    <row r="43" spans="1:10" x14ac:dyDescent="0.35">
      <c r="A43" s="14" t="s">
        <v>389</v>
      </c>
      <c r="B43" s="15">
        <f t="shared" ref="B43:G43" si="13">SUM(B33:B41)</f>
        <v>132</v>
      </c>
      <c r="C43" s="15">
        <f t="shared" si="13"/>
        <v>15</v>
      </c>
      <c r="D43" s="15">
        <f t="shared" si="13"/>
        <v>1</v>
      </c>
      <c r="E43" s="15">
        <f t="shared" si="13"/>
        <v>6</v>
      </c>
      <c r="F43" s="15">
        <f t="shared" si="13"/>
        <v>8</v>
      </c>
      <c r="G43" s="15">
        <f t="shared" si="13"/>
        <v>48</v>
      </c>
      <c r="H43" s="16">
        <f t="shared" si="11"/>
        <v>6.6666666666666666E-2</v>
      </c>
      <c r="I43" s="16">
        <f t="shared" si="12"/>
        <v>0.46666666666666667</v>
      </c>
      <c r="J43" s="17">
        <f>IFERROR(SUMPRODUCT(C33:C41,J33:J41)/C43,"–")</f>
        <v>0.46466666666666667</v>
      </c>
    </row>
    <row r="44" spans="1:10" x14ac:dyDescent="0.35">
      <c r="A44" s="14" t="s">
        <v>390</v>
      </c>
      <c r="B44" s="15">
        <f t="shared" ref="B44:G44" si="14">SUM(B33:B42)</f>
        <v>133</v>
      </c>
      <c r="C44" s="15">
        <f t="shared" si="14"/>
        <v>16</v>
      </c>
      <c r="D44" s="15">
        <f t="shared" si="14"/>
        <v>2</v>
      </c>
      <c r="E44" s="15">
        <f t="shared" si="14"/>
        <v>6</v>
      </c>
      <c r="F44" s="15">
        <f t="shared" si="14"/>
        <v>8</v>
      </c>
      <c r="G44" s="15">
        <f t="shared" si="14"/>
        <v>48</v>
      </c>
      <c r="H44" s="16">
        <f t="shared" si="11"/>
        <v>0.125</v>
      </c>
      <c r="I44" s="16">
        <f t="shared" si="12"/>
        <v>0.5</v>
      </c>
      <c r="J44" s="17">
        <f>IFERROR(AVERAGE('Per field'!$P$2:$P$136),"–")</f>
        <v>0.49812500000000004</v>
      </c>
    </row>
    <row r="46" spans="1:10" x14ac:dyDescent="0.35">
      <c r="A46" s="10" t="s">
        <v>395</v>
      </c>
    </row>
    <row r="47" spans="1:10" ht="39" x14ac:dyDescent="0.35">
      <c r="A47" s="3" t="s">
        <v>20</v>
      </c>
      <c r="B47" s="3" t="s">
        <v>383</v>
      </c>
      <c r="C47" s="3" t="s">
        <v>393</v>
      </c>
      <c r="D47" s="3" t="s">
        <v>47</v>
      </c>
      <c r="E47" s="3" t="s">
        <v>39</v>
      </c>
      <c r="F47" s="3" t="s">
        <v>75</v>
      </c>
      <c r="G47" s="3" t="s">
        <v>394</v>
      </c>
      <c r="H47" s="3" t="s">
        <v>386</v>
      </c>
      <c r="I47" s="3" t="s">
        <v>387</v>
      </c>
      <c r="J47" s="3" t="s">
        <v>388</v>
      </c>
    </row>
    <row r="48" spans="1:10" x14ac:dyDescent="0.35">
      <c r="A48" s="2" t="s">
        <v>37</v>
      </c>
      <c r="B48" s="11">
        <f>COUNTIFS('Per field'!$B$2:$B$136,$A48,'Per field'!$Q$2:$Q$136,"&lt;&gt;Not in sheet")</f>
        <v>11</v>
      </c>
      <c r="C48" s="11">
        <f t="shared" ref="C48:C57" si="15">D48+E48+F48</f>
        <v>0</v>
      </c>
      <c r="D48" s="11">
        <f>COUNTIFS('Per field'!$B$2:$B$136,$A48,'Per field'!$Q$2:$Q$136,"Identical")</f>
        <v>0</v>
      </c>
      <c r="E48" s="11">
        <f>COUNTIFS('Per field'!$B$2:$B$136,$A48,'Per field'!$Q$2:$Q$136,"Similar")</f>
        <v>0</v>
      </c>
      <c r="F48" s="11">
        <f>COUNTIFS('Per field'!$B$2:$B$136,$A48,'Per field'!$Q$2:$Q$136,"Low")</f>
        <v>0</v>
      </c>
      <c r="G48" s="11">
        <f>COUNTIFS('Per field'!$B$2:$B$136,$A48,'Per field'!$Q$2:$Q$136,"Only Flash")+COUNTIFS('Per field'!$B$2:$B$136,$A48,'Per field'!$Q$2:$Q$136,"Only Pro")</f>
        <v>7</v>
      </c>
      <c r="H48" s="12" t="str">
        <f t="shared" ref="H48:H59" si="16">IFERROR(D48/C48,"–")</f>
        <v>–</v>
      </c>
      <c r="I48" s="12" t="str">
        <f t="shared" ref="I48:I59" si="17">IFERROR((D48+E48)/C48,"–")</f>
        <v>–</v>
      </c>
      <c r="J48" s="13" t="str">
        <f>IFERROR(AVERAGEIFS('Per field'!$R$2:$R$136,'Per field'!$B$2:$B$136,$A48),"–")</f>
        <v>–</v>
      </c>
    </row>
    <row r="49" spans="1:10" x14ac:dyDescent="0.35">
      <c r="A49" s="2" t="s">
        <v>67</v>
      </c>
      <c r="B49" s="11">
        <f>COUNTIFS('Per field'!$B$2:$B$136,$A49,'Per field'!$Q$2:$Q$136,"&lt;&gt;Not in sheet")</f>
        <v>13</v>
      </c>
      <c r="C49" s="11">
        <f t="shared" si="15"/>
        <v>2</v>
      </c>
      <c r="D49" s="11">
        <f>COUNTIFS('Per field'!$B$2:$B$136,$A49,'Per field'!$Q$2:$Q$136,"Identical")</f>
        <v>0</v>
      </c>
      <c r="E49" s="11">
        <f>COUNTIFS('Per field'!$B$2:$B$136,$A49,'Per field'!$Q$2:$Q$136,"Similar")</f>
        <v>0</v>
      </c>
      <c r="F49" s="11">
        <f>COUNTIFS('Per field'!$B$2:$B$136,$A49,'Per field'!$Q$2:$Q$136,"Low")</f>
        <v>2</v>
      </c>
      <c r="G49" s="11">
        <f>COUNTIFS('Per field'!$B$2:$B$136,$A49,'Per field'!$Q$2:$Q$136,"Only Flash")+COUNTIFS('Per field'!$B$2:$B$136,$A49,'Per field'!$Q$2:$Q$136,"Only Pro")</f>
        <v>9</v>
      </c>
      <c r="H49" s="12">
        <f t="shared" si="16"/>
        <v>0</v>
      </c>
      <c r="I49" s="12">
        <f t="shared" si="17"/>
        <v>0</v>
      </c>
      <c r="J49" s="13">
        <f>IFERROR(AVERAGEIFS('Per field'!$R$2:$R$136,'Per field'!$B$2:$B$136,$A49),"–")</f>
        <v>0.375</v>
      </c>
    </row>
    <row r="50" spans="1:10" x14ac:dyDescent="0.35">
      <c r="A50" s="2" t="s">
        <v>128</v>
      </c>
      <c r="B50" s="11">
        <f>COUNTIFS('Per field'!$B$2:$B$136,$A50,'Per field'!$Q$2:$Q$136,"&lt;&gt;Not in sheet")</f>
        <v>25</v>
      </c>
      <c r="C50" s="11">
        <f t="shared" si="15"/>
        <v>5</v>
      </c>
      <c r="D50" s="11">
        <f>COUNTIFS('Per field'!$B$2:$B$136,$A50,'Per field'!$Q$2:$Q$136,"Identical")</f>
        <v>2</v>
      </c>
      <c r="E50" s="11">
        <f>COUNTIFS('Per field'!$B$2:$B$136,$A50,'Per field'!$Q$2:$Q$136,"Similar")</f>
        <v>1</v>
      </c>
      <c r="F50" s="11">
        <f>COUNTIFS('Per field'!$B$2:$B$136,$A50,'Per field'!$Q$2:$Q$136,"Low")</f>
        <v>2</v>
      </c>
      <c r="G50" s="11">
        <f>COUNTIFS('Per field'!$B$2:$B$136,$A50,'Per field'!$Q$2:$Q$136,"Only Flash")+COUNTIFS('Per field'!$B$2:$B$136,$A50,'Per field'!$Q$2:$Q$136,"Only Pro")</f>
        <v>6</v>
      </c>
      <c r="H50" s="12">
        <f t="shared" si="16"/>
        <v>0.4</v>
      </c>
      <c r="I50" s="12">
        <f t="shared" si="17"/>
        <v>0.6</v>
      </c>
      <c r="J50" s="13">
        <f>IFERROR(AVERAGEIFS('Per field'!$R$2:$R$136,'Per field'!$B$2:$B$136,$A50),"–")</f>
        <v>0.63800000000000012</v>
      </c>
    </row>
    <row r="51" spans="1:10" x14ac:dyDescent="0.35">
      <c r="A51" s="2" t="s">
        <v>195</v>
      </c>
      <c r="B51" s="11">
        <f>COUNTIFS('Per field'!$B$2:$B$136,$A51,'Per field'!$Q$2:$Q$136,"&lt;&gt;Not in sheet")</f>
        <v>25</v>
      </c>
      <c r="C51" s="11">
        <f t="shared" si="15"/>
        <v>3</v>
      </c>
      <c r="D51" s="11">
        <f>COUNTIFS('Per field'!$B$2:$B$136,$A51,'Per field'!$Q$2:$Q$136,"Identical")</f>
        <v>0</v>
      </c>
      <c r="E51" s="11">
        <f>COUNTIFS('Per field'!$B$2:$B$136,$A51,'Per field'!$Q$2:$Q$136,"Similar")</f>
        <v>3</v>
      </c>
      <c r="F51" s="11">
        <f>COUNTIFS('Per field'!$B$2:$B$136,$A51,'Per field'!$Q$2:$Q$136,"Low")</f>
        <v>0</v>
      </c>
      <c r="G51" s="11">
        <f>COUNTIFS('Per field'!$B$2:$B$136,$A51,'Per field'!$Q$2:$Q$136,"Only Flash")+COUNTIFS('Per field'!$B$2:$B$136,$A51,'Per field'!$Q$2:$Q$136,"Only Pro")</f>
        <v>4</v>
      </c>
      <c r="H51" s="12">
        <f t="shared" si="16"/>
        <v>0</v>
      </c>
      <c r="I51" s="12">
        <f t="shared" si="17"/>
        <v>1</v>
      </c>
      <c r="J51" s="13">
        <f>IFERROR(AVERAGEIFS('Per field'!$R$2:$R$136,'Per field'!$B$2:$B$136,$A51),"–")</f>
        <v>0.76666666666666661</v>
      </c>
    </row>
    <row r="52" spans="1:10" x14ac:dyDescent="0.35">
      <c r="A52" s="2" t="s">
        <v>242</v>
      </c>
      <c r="B52" s="11">
        <f>COUNTIFS('Per field'!$B$2:$B$136,$A52,'Per field'!$Q$2:$Q$136,"&lt;&gt;Not in sheet")</f>
        <v>11</v>
      </c>
      <c r="C52" s="11">
        <f t="shared" si="15"/>
        <v>0</v>
      </c>
      <c r="D52" s="11">
        <f>COUNTIFS('Per field'!$B$2:$B$136,$A52,'Per field'!$Q$2:$Q$136,"Identical")</f>
        <v>0</v>
      </c>
      <c r="E52" s="11">
        <f>COUNTIFS('Per field'!$B$2:$B$136,$A52,'Per field'!$Q$2:$Q$136,"Similar")</f>
        <v>0</v>
      </c>
      <c r="F52" s="11">
        <f>COUNTIFS('Per field'!$B$2:$B$136,$A52,'Per field'!$Q$2:$Q$136,"Low")</f>
        <v>0</v>
      </c>
      <c r="G52" s="11">
        <f>COUNTIFS('Per field'!$B$2:$B$136,$A52,'Per field'!$Q$2:$Q$136,"Only Flash")+COUNTIFS('Per field'!$B$2:$B$136,$A52,'Per field'!$Q$2:$Q$136,"Only Pro")</f>
        <v>1</v>
      </c>
      <c r="H52" s="12" t="str">
        <f t="shared" si="16"/>
        <v>–</v>
      </c>
      <c r="I52" s="12" t="str">
        <f t="shared" si="17"/>
        <v>–</v>
      </c>
      <c r="J52" s="13" t="str">
        <f>IFERROR(AVERAGEIFS('Per field'!$R$2:$R$136,'Per field'!$B$2:$B$136,$A52),"–")</f>
        <v>–</v>
      </c>
    </row>
    <row r="53" spans="1:10" x14ac:dyDescent="0.35">
      <c r="A53" s="2" t="s">
        <v>255</v>
      </c>
      <c r="B53" s="11">
        <f>COUNTIFS('Per field'!$B$2:$B$136,$A53,'Per field'!$Q$2:$Q$136,"&lt;&gt;Not in sheet")</f>
        <v>16</v>
      </c>
      <c r="C53" s="11">
        <f t="shared" si="15"/>
        <v>0</v>
      </c>
      <c r="D53" s="11">
        <f>COUNTIFS('Per field'!$B$2:$B$136,$A53,'Per field'!$Q$2:$Q$136,"Identical")</f>
        <v>0</v>
      </c>
      <c r="E53" s="11">
        <f>COUNTIFS('Per field'!$B$2:$B$136,$A53,'Per field'!$Q$2:$Q$136,"Similar")</f>
        <v>0</v>
      </c>
      <c r="F53" s="11">
        <f>COUNTIFS('Per field'!$B$2:$B$136,$A53,'Per field'!$Q$2:$Q$136,"Low")</f>
        <v>0</v>
      </c>
      <c r="G53" s="11">
        <f>COUNTIFS('Per field'!$B$2:$B$136,$A53,'Per field'!$Q$2:$Q$136,"Only Flash")+COUNTIFS('Per field'!$B$2:$B$136,$A53,'Per field'!$Q$2:$Q$136,"Only Pro")</f>
        <v>6</v>
      </c>
      <c r="H53" s="12" t="str">
        <f t="shared" si="16"/>
        <v>–</v>
      </c>
      <c r="I53" s="12" t="str">
        <f t="shared" si="17"/>
        <v>–</v>
      </c>
      <c r="J53" s="13" t="str">
        <f>IFERROR(AVERAGEIFS('Per field'!$R$2:$R$136,'Per field'!$B$2:$B$136,$A53),"–")</f>
        <v>–</v>
      </c>
    </row>
    <row r="54" spans="1:10" x14ac:dyDescent="0.35">
      <c r="A54" s="2" t="s">
        <v>291</v>
      </c>
      <c r="B54" s="11">
        <f>COUNTIFS('Per field'!$B$2:$B$136,$A54,'Per field'!$Q$2:$Q$136,"&lt;&gt;Not in sheet")</f>
        <v>12</v>
      </c>
      <c r="C54" s="11">
        <f t="shared" si="15"/>
        <v>2</v>
      </c>
      <c r="D54" s="11">
        <f>COUNTIFS('Per field'!$B$2:$B$136,$A54,'Per field'!$Q$2:$Q$136,"Identical")</f>
        <v>0</v>
      </c>
      <c r="E54" s="11">
        <f>COUNTIFS('Per field'!$B$2:$B$136,$A54,'Per field'!$Q$2:$Q$136,"Similar")</f>
        <v>0</v>
      </c>
      <c r="F54" s="11">
        <f>COUNTIFS('Per field'!$B$2:$B$136,$A54,'Per field'!$Q$2:$Q$136,"Low")</f>
        <v>2</v>
      </c>
      <c r="G54" s="11">
        <f>COUNTIFS('Per field'!$B$2:$B$136,$A54,'Per field'!$Q$2:$Q$136,"Only Flash")+COUNTIFS('Per field'!$B$2:$B$136,$A54,'Per field'!$Q$2:$Q$136,"Only Pro")</f>
        <v>9</v>
      </c>
      <c r="H54" s="12">
        <f t="shared" si="16"/>
        <v>0</v>
      </c>
      <c r="I54" s="12">
        <f t="shared" si="17"/>
        <v>0</v>
      </c>
      <c r="J54" s="13">
        <f>IFERROR(AVERAGEIFS('Per field'!$R$2:$R$136,'Per field'!$B$2:$B$136,$A54),"–")</f>
        <v>0.245</v>
      </c>
    </row>
    <row r="55" spans="1:10" x14ac:dyDescent="0.35">
      <c r="A55" s="2" t="s">
        <v>339</v>
      </c>
      <c r="B55" s="11">
        <f>COUNTIFS('Per field'!$B$2:$B$136,$A55,'Per field'!$Q$2:$Q$136,"&lt;&gt;Not in sheet")</f>
        <v>15</v>
      </c>
      <c r="C55" s="11">
        <f t="shared" si="15"/>
        <v>1</v>
      </c>
      <c r="D55" s="11">
        <f>COUNTIFS('Per field'!$B$2:$B$136,$A55,'Per field'!$Q$2:$Q$136,"Identical")</f>
        <v>1</v>
      </c>
      <c r="E55" s="11">
        <f>COUNTIFS('Per field'!$B$2:$B$136,$A55,'Per field'!$Q$2:$Q$136,"Similar")</f>
        <v>0</v>
      </c>
      <c r="F55" s="11">
        <f>COUNTIFS('Per field'!$B$2:$B$136,$A55,'Per field'!$Q$2:$Q$136,"Low")</f>
        <v>0</v>
      </c>
      <c r="G55" s="11">
        <f>COUNTIFS('Per field'!$B$2:$B$136,$A55,'Per field'!$Q$2:$Q$136,"Only Flash")+COUNTIFS('Per field'!$B$2:$B$136,$A55,'Per field'!$Q$2:$Q$136,"Only Pro")</f>
        <v>3</v>
      </c>
      <c r="H55" s="12">
        <f t="shared" si="16"/>
        <v>1</v>
      </c>
      <c r="I55" s="12">
        <f t="shared" si="17"/>
        <v>1</v>
      </c>
      <c r="J55" s="13">
        <f>IFERROR(AVERAGEIFS('Per field'!$R$2:$R$136,'Per field'!$B$2:$B$136,$A55),"–")</f>
        <v>1</v>
      </c>
    </row>
    <row r="56" spans="1:10" x14ac:dyDescent="0.35">
      <c r="A56" s="2" t="s">
        <v>363</v>
      </c>
      <c r="B56" s="11">
        <f>COUNTIFS('Per field'!$B$2:$B$136,$A56,'Per field'!$Q$2:$Q$136,"&lt;&gt;Not in sheet")</f>
        <v>4</v>
      </c>
      <c r="C56" s="11">
        <f t="shared" si="15"/>
        <v>0</v>
      </c>
      <c r="D56" s="11">
        <f>COUNTIFS('Per field'!$B$2:$B$136,$A56,'Per field'!$Q$2:$Q$136,"Identical")</f>
        <v>0</v>
      </c>
      <c r="E56" s="11">
        <f>COUNTIFS('Per field'!$B$2:$B$136,$A56,'Per field'!$Q$2:$Q$136,"Similar")</f>
        <v>0</v>
      </c>
      <c r="F56" s="11">
        <f>COUNTIFS('Per field'!$B$2:$B$136,$A56,'Per field'!$Q$2:$Q$136,"Low")</f>
        <v>0</v>
      </c>
      <c r="G56" s="11">
        <f>COUNTIFS('Per field'!$B$2:$B$136,$A56,'Per field'!$Q$2:$Q$136,"Only Flash")+COUNTIFS('Per field'!$B$2:$B$136,$A56,'Per field'!$Q$2:$Q$136,"Only Pro")</f>
        <v>3</v>
      </c>
      <c r="H56" s="12" t="str">
        <f t="shared" si="16"/>
        <v>–</v>
      </c>
      <c r="I56" s="12" t="str">
        <f t="shared" si="17"/>
        <v>–</v>
      </c>
      <c r="J56" s="13" t="str">
        <f>IFERROR(AVERAGEIFS('Per field'!$R$2:$R$136,'Per field'!$B$2:$B$136,$A56),"–")</f>
        <v>–</v>
      </c>
    </row>
    <row r="57" spans="1:10" x14ac:dyDescent="0.35">
      <c r="A57" s="2" t="s">
        <v>376</v>
      </c>
      <c r="B57" s="11">
        <f>COUNTIFS('Per field'!$B$2:$B$136,$A57,'Per field'!$Q$2:$Q$136,"&lt;&gt;Not in sheet")</f>
        <v>1</v>
      </c>
      <c r="C57" s="11">
        <f t="shared" si="15"/>
        <v>1</v>
      </c>
      <c r="D57" s="11">
        <f>COUNTIFS('Per field'!$B$2:$B$136,$A57,'Per field'!$Q$2:$Q$136,"Identical")</f>
        <v>1</v>
      </c>
      <c r="E57" s="11">
        <f>COUNTIFS('Per field'!$B$2:$B$136,$A57,'Per field'!$Q$2:$Q$136,"Similar")</f>
        <v>0</v>
      </c>
      <c r="F57" s="11">
        <f>COUNTIFS('Per field'!$B$2:$B$136,$A57,'Per field'!$Q$2:$Q$136,"Low")</f>
        <v>0</v>
      </c>
      <c r="G57" s="11">
        <f>COUNTIFS('Per field'!$B$2:$B$136,$A57,'Per field'!$Q$2:$Q$136,"Only Flash")+COUNTIFS('Per field'!$B$2:$B$136,$A57,'Per field'!$Q$2:$Q$136,"Only Pro")</f>
        <v>0</v>
      </c>
      <c r="H57" s="12">
        <f t="shared" si="16"/>
        <v>1</v>
      </c>
      <c r="I57" s="12">
        <f t="shared" si="17"/>
        <v>1</v>
      </c>
      <c r="J57" s="13">
        <f>IFERROR(AVERAGEIFS('Per field'!$R$2:$R$136,'Per field'!$B$2:$B$136,$A57),"–")</f>
        <v>1</v>
      </c>
    </row>
    <row r="58" spans="1:10" x14ac:dyDescent="0.35">
      <c r="A58" s="14" t="s">
        <v>389</v>
      </c>
      <c r="B58" s="15">
        <f t="shared" ref="B58:G58" si="18">SUM(B48:B56)</f>
        <v>132</v>
      </c>
      <c r="C58" s="15">
        <f t="shared" si="18"/>
        <v>13</v>
      </c>
      <c r="D58" s="15">
        <f t="shared" si="18"/>
        <v>3</v>
      </c>
      <c r="E58" s="15">
        <f t="shared" si="18"/>
        <v>4</v>
      </c>
      <c r="F58" s="15">
        <f t="shared" si="18"/>
        <v>6</v>
      </c>
      <c r="G58" s="15">
        <f t="shared" si="18"/>
        <v>48</v>
      </c>
      <c r="H58" s="16">
        <f t="shared" si="16"/>
        <v>0.23076923076923078</v>
      </c>
      <c r="I58" s="16">
        <f t="shared" si="17"/>
        <v>0.53846153846153844</v>
      </c>
      <c r="J58" s="17">
        <f>IFERROR(SUMPRODUCT(C48:C56,J48:J56)/C58,"–")</f>
        <v>0.59461538461538466</v>
      </c>
    </row>
    <row r="59" spans="1:10" x14ac:dyDescent="0.35">
      <c r="A59" s="14" t="s">
        <v>390</v>
      </c>
      <c r="B59" s="15">
        <f t="shared" ref="B59:G59" si="19">SUM(B48:B57)</f>
        <v>133</v>
      </c>
      <c r="C59" s="15">
        <f t="shared" si="19"/>
        <v>14</v>
      </c>
      <c r="D59" s="15">
        <f t="shared" si="19"/>
        <v>4</v>
      </c>
      <c r="E59" s="15">
        <f t="shared" si="19"/>
        <v>4</v>
      </c>
      <c r="F59" s="15">
        <f t="shared" si="19"/>
        <v>6</v>
      </c>
      <c r="G59" s="15">
        <f t="shared" si="19"/>
        <v>48</v>
      </c>
      <c r="H59" s="16">
        <f t="shared" si="16"/>
        <v>0.2857142857142857</v>
      </c>
      <c r="I59" s="16">
        <f t="shared" si="17"/>
        <v>0.5714285714285714</v>
      </c>
      <c r="J59" s="17">
        <f>IFERROR(AVERAGE('Per field'!$R$2:$R$136),"–")</f>
        <v>0.62357142857142855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8"/>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6328125" defaultRowHeight="14.5" x14ac:dyDescent="0.35"/>
  <cols>
    <col min="1" max="1" width="30" customWidth="1"/>
    <col min="2" max="2" width="5" customWidth="1"/>
    <col min="3" max="3" width="24" customWidth="1"/>
    <col min="4" max="4" width="34" customWidth="1"/>
    <col min="5" max="5" width="14" customWidth="1"/>
    <col min="6" max="6" width="11" customWidth="1"/>
    <col min="7" max="8" width="70" customWidth="1"/>
  </cols>
  <sheetData>
    <row r="1" spans="1:8" x14ac:dyDescent="0.35">
      <c r="A1" s="3" t="s">
        <v>396</v>
      </c>
      <c r="B1" s="3" t="s">
        <v>19</v>
      </c>
      <c r="C1" s="3" t="s">
        <v>20</v>
      </c>
      <c r="D1" s="3" t="s">
        <v>21</v>
      </c>
      <c r="E1" s="3" t="s">
        <v>397</v>
      </c>
      <c r="F1" s="3" t="s">
        <v>398</v>
      </c>
      <c r="G1" s="3" t="s">
        <v>399</v>
      </c>
      <c r="H1" s="3" t="s">
        <v>400</v>
      </c>
    </row>
    <row r="2" spans="1:8" ht="30" customHeight="1" x14ac:dyDescent="0.35">
      <c r="A2" s="4" t="s">
        <v>401</v>
      </c>
      <c r="B2" s="4">
        <v>1</v>
      </c>
      <c r="C2" s="4" t="s">
        <v>291</v>
      </c>
      <c r="D2" s="4" t="s">
        <v>317</v>
      </c>
      <c r="E2" s="9" t="s">
        <v>75</v>
      </c>
      <c r="F2" s="6">
        <v>0.33</v>
      </c>
      <c r="G2" s="4" t="s">
        <v>319</v>
      </c>
      <c r="H2" s="4" t="s">
        <v>320</v>
      </c>
    </row>
    <row r="3" spans="1:8" ht="30" customHeight="1" x14ac:dyDescent="0.35">
      <c r="A3" s="4" t="s">
        <v>401</v>
      </c>
      <c r="B3" s="4">
        <v>2</v>
      </c>
      <c r="C3" s="4" t="s">
        <v>291</v>
      </c>
      <c r="D3" s="4" t="s">
        <v>321</v>
      </c>
      <c r="E3" s="9" t="s">
        <v>75</v>
      </c>
      <c r="F3" s="6">
        <v>0.25</v>
      </c>
      <c r="G3" s="4" t="s">
        <v>324</v>
      </c>
      <c r="H3" s="4" t="s">
        <v>325</v>
      </c>
    </row>
    <row r="4" spans="1:8" ht="30" customHeight="1" x14ac:dyDescent="0.35">
      <c r="A4" s="4" t="s">
        <v>401</v>
      </c>
      <c r="B4" s="4">
        <v>3</v>
      </c>
      <c r="C4" s="4" t="s">
        <v>291</v>
      </c>
      <c r="D4" s="4" t="s">
        <v>326</v>
      </c>
      <c r="E4" s="9" t="s">
        <v>75</v>
      </c>
      <c r="F4" s="6">
        <v>0.17</v>
      </c>
      <c r="G4" s="4" t="s">
        <v>328</v>
      </c>
      <c r="H4" s="4" t="s">
        <v>329</v>
      </c>
    </row>
    <row r="5" spans="1:8" ht="30" customHeight="1" x14ac:dyDescent="0.35">
      <c r="A5" s="4" t="s">
        <v>401</v>
      </c>
      <c r="B5" s="4">
        <v>4</v>
      </c>
      <c r="C5" s="4" t="s">
        <v>291</v>
      </c>
      <c r="D5" s="4" t="s">
        <v>330</v>
      </c>
      <c r="E5" s="9" t="s">
        <v>75</v>
      </c>
      <c r="F5" s="6">
        <v>0.28999999999999998</v>
      </c>
      <c r="G5" s="4" t="s">
        <v>332</v>
      </c>
      <c r="H5" s="4" t="s">
        <v>333</v>
      </c>
    </row>
    <row r="6" spans="1:8" ht="30" customHeight="1" x14ac:dyDescent="0.35">
      <c r="A6" s="4" t="s">
        <v>401</v>
      </c>
      <c r="B6" s="4">
        <v>5</v>
      </c>
      <c r="C6" s="4" t="s">
        <v>291</v>
      </c>
      <c r="D6" s="4" t="s">
        <v>334</v>
      </c>
      <c r="E6" s="9" t="s">
        <v>75</v>
      </c>
      <c r="F6" s="6">
        <v>0.44</v>
      </c>
      <c r="G6" s="4" t="s">
        <v>337</v>
      </c>
      <c r="H6" s="4" t="s">
        <v>338</v>
      </c>
    </row>
    <row r="7" spans="1:8" ht="30" customHeight="1" x14ac:dyDescent="0.35">
      <c r="A7" s="4" t="s">
        <v>401</v>
      </c>
      <c r="B7" s="4">
        <v>6</v>
      </c>
      <c r="C7" s="4" t="s">
        <v>339</v>
      </c>
      <c r="D7" s="4" t="s">
        <v>340</v>
      </c>
      <c r="E7" s="4" t="s">
        <v>43</v>
      </c>
      <c r="F7" s="6"/>
      <c r="G7" s="4"/>
      <c r="H7" s="4"/>
    </row>
    <row r="8" spans="1:8" ht="30" customHeight="1" x14ac:dyDescent="0.35">
      <c r="A8" s="4" t="s">
        <v>401</v>
      </c>
      <c r="B8" s="4">
        <v>7</v>
      </c>
      <c r="C8" s="4" t="s">
        <v>339</v>
      </c>
      <c r="D8" s="4" t="s">
        <v>341</v>
      </c>
      <c r="E8" s="8" t="s">
        <v>47</v>
      </c>
      <c r="F8" s="6">
        <v>1</v>
      </c>
      <c r="G8" s="4" t="s">
        <v>342</v>
      </c>
      <c r="H8" s="4" t="s">
        <v>342</v>
      </c>
    </row>
    <row r="9" spans="1:8" ht="30" customHeight="1" x14ac:dyDescent="0.35">
      <c r="A9" s="4" t="s">
        <v>401</v>
      </c>
      <c r="B9" s="4">
        <v>8</v>
      </c>
      <c r="C9" s="4" t="s">
        <v>339</v>
      </c>
      <c r="D9" s="4" t="s">
        <v>343</v>
      </c>
      <c r="E9" s="4" t="s">
        <v>43</v>
      </c>
      <c r="F9" s="6"/>
      <c r="G9" s="4"/>
      <c r="H9" s="4"/>
    </row>
    <row r="10" spans="1:8" ht="30" customHeight="1" x14ac:dyDescent="0.35">
      <c r="A10" s="4" t="s">
        <v>401</v>
      </c>
      <c r="B10" s="4">
        <v>9</v>
      </c>
      <c r="C10" s="4" t="s">
        <v>339</v>
      </c>
      <c r="D10" s="4" t="s">
        <v>344</v>
      </c>
      <c r="E10" s="4" t="s">
        <v>43</v>
      </c>
      <c r="F10" s="6"/>
      <c r="G10" s="4"/>
      <c r="H10" s="4"/>
    </row>
    <row r="11" spans="1:8" ht="30" customHeight="1" x14ac:dyDescent="0.35">
      <c r="A11" s="4" t="s">
        <v>401</v>
      </c>
      <c r="B11" s="4">
        <v>10</v>
      </c>
      <c r="C11" s="4" t="s">
        <v>339</v>
      </c>
      <c r="D11" s="4" t="s">
        <v>345</v>
      </c>
      <c r="E11" s="4" t="s">
        <v>43</v>
      </c>
      <c r="F11" s="6"/>
      <c r="G11" s="4"/>
      <c r="H11" s="4"/>
    </row>
    <row r="12" spans="1:8" ht="30" customHeight="1" x14ac:dyDescent="0.35">
      <c r="A12" s="4" t="s">
        <v>401</v>
      </c>
      <c r="B12" s="4">
        <v>11</v>
      </c>
      <c r="C12" s="4" t="s">
        <v>339</v>
      </c>
      <c r="D12" s="4" t="s">
        <v>346</v>
      </c>
      <c r="E12" s="4" t="s">
        <v>43</v>
      </c>
      <c r="F12" s="6"/>
      <c r="G12" s="4"/>
      <c r="H12" s="4"/>
    </row>
    <row r="13" spans="1:8" ht="30" customHeight="1" x14ac:dyDescent="0.35">
      <c r="A13" s="4" t="s">
        <v>402</v>
      </c>
      <c r="B13" s="4">
        <v>1</v>
      </c>
      <c r="C13" s="4"/>
      <c r="D13" s="4" t="s">
        <v>403</v>
      </c>
      <c r="E13" s="8" t="s">
        <v>47</v>
      </c>
      <c r="F13" s="6">
        <v>1</v>
      </c>
      <c r="G13" s="4" t="s">
        <v>404</v>
      </c>
      <c r="H13" s="4" t="s">
        <v>404</v>
      </c>
    </row>
    <row r="14" spans="1:8" ht="30" customHeight="1" x14ac:dyDescent="0.35">
      <c r="A14" s="4" t="s">
        <v>402</v>
      </c>
      <c r="B14" s="4">
        <v>2</v>
      </c>
      <c r="C14" s="4"/>
      <c r="D14" s="4" t="s">
        <v>405</v>
      </c>
      <c r="E14" s="5" t="s">
        <v>39</v>
      </c>
      <c r="F14" s="6">
        <v>0.8</v>
      </c>
      <c r="G14" s="4" t="s">
        <v>406</v>
      </c>
      <c r="H14" s="4" t="s">
        <v>407</v>
      </c>
    </row>
    <row r="15" spans="1:8" ht="30" customHeight="1" x14ac:dyDescent="0.35">
      <c r="A15" s="4" t="s">
        <v>402</v>
      </c>
      <c r="B15" s="4">
        <v>3</v>
      </c>
      <c r="C15" s="4"/>
      <c r="D15" s="4" t="s">
        <v>408</v>
      </c>
      <c r="E15" s="5" t="s">
        <v>39</v>
      </c>
      <c r="F15" s="6">
        <v>0.78</v>
      </c>
      <c r="G15" s="4" t="s">
        <v>105</v>
      </c>
      <c r="H15" s="4" t="s">
        <v>106</v>
      </c>
    </row>
    <row r="16" spans="1:8" ht="30" customHeight="1" x14ac:dyDescent="0.35">
      <c r="A16" s="4" t="s">
        <v>402</v>
      </c>
      <c r="B16" s="4">
        <v>4</v>
      </c>
      <c r="C16" s="4"/>
      <c r="D16" s="4" t="s">
        <v>409</v>
      </c>
      <c r="E16" s="5" t="s">
        <v>39</v>
      </c>
      <c r="F16" s="6">
        <v>0.62</v>
      </c>
      <c r="G16" s="4" t="s">
        <v>113</v>
      </c>
      <c r="H16" s="4" t="s">
        <v>114</v>
      </c>
    </row>
    <row r="17" spans="1:8" ht="30" customHeight="1" x14ac:dyDescent="0.35">
      <c r="A17" s="4" t="s">
        <v>402</v>
      </c>
      <c r="B17" s="4">
        <v>5</v>
      </c>
      <c r="C17" s="4"/>
      <c r="D17" s="4" t="s">
        <v>410</v>
      </c>
      <c r="E17" s="7" t="s">
        <v>58</v>
      </c>
      <c r="F17" s="6">
        <v>0</v>
      </c>
      <c r="G17" s="4" t="s">
        <v>411</v>
      </c>
      <c r="H17" s="4"/>
    </row>
    <row r="18" spans="1:8" ht="30" customHeight="1" x14ac:dyDescent="0.35">
      <c r="A18" s="4" t="s">
        <v>402</v>
      </c>
      <c r="B18" s="4">
        <v>6</v>
      </c>
      <c r="C18" s="4"/>
      <c r="D18" s="4" t="s">
        <v>412</v>
      </c>
      <c r="E18" s="8" t="s">
        <v>47</v>
      </c>
      <c r="F18" s="6">
        <v>1</v>
      </c>
      <c r="G18" s="4" t="s">
        <v>379</v>
      </c>
      <c r="H18" s="4" t="s">
        <v>379</v>
      </c>
    </row>
    <row r="19" spans="1:8" ht="30" customHeight="1" x14ac:dyDescent="0.35">
      <c r="A19" s="4" t="s">
        <v>402</v>
      </c>
      <c r="B19" s="4">
        <v>7</v>
      </c>
      <c r="C19" s="4"/>
      <c r="D19" s="4" t="s">
        <v>413</v>
      </c>
      <c r="E19" s="8" t="s">
        <v>47</v>
      </c>
      <c r="F19" s="6">
        <v>1</v>
      </c>
      <c r="G19" s="4" t="s">
        <v>406</v>
      </c>
      <c r="H19" s="4" t="s">
        <v>406</v>
      </c>
    </row>
    <row r="20" spans="1:8" ht="30" customHeight="1" x14ac:dyDescent="0.35">
      <c r="A20" s="4" t="s">
        <v>402</v>
      </c>
      <c r="B20" s="4">
        <v>8</v>
      </c>
      <c r="C20" s="4"/>
      <c r="D20" s="4" t="s">
        <v>414</v>
      </c>
      <c r="E20" s="8" t="s">
        <v>47</v>
      </c>
      <c r="F20" s="6">
        <v>1</v>
      </c>
      <c r="G20" s="4" t="s">
        <v>415</v>
      </c>
      <c r="H20" s="4" t="s">
        <v>415</v>
      </c>
    </row>
    <row r="21" spans="1:8" ht="30" customHeight="1" x14ac:dyDescent="0.35">
      <c r="A21" s="4" t="s">
        <v>402</v>
      </c>
      <c r="B21" s="4">
        <v>9</v>
      </c>
      <c r="C21" s="4"/>
      <c r="D21" s="4" t="s">
        <v>416</v>
      </c>
      <c r="E21" s="5" t="s">
        <v>39</v>
      </c>
      <c r="F21" s="6">
        <v>0.8</v>
      </c>
      <c r="G21" s="4" t="s">
        <v>406</v>
      </c>
      <c r="H21" s="4" t="s">
        <v>407</v>
      </c>
    </row>
    <row r="22" spans="1:8" ht="30" customHeight="1" x14ac:dyDescent="0.35">
      <c r="A22" s="4" t="s">
        <v>402</v>
      </c>
      <c r="B22" s="4">
        <v>10</v>
      </c>
      <c r="C22" s="4"/>
      <c r="D22" s="4" t="s">
        <v>417</v>
      </c>
      <c r="E22" s="9" t="s">
        <v>75</v>
      </c>
      <c r="F22" s="6">
        <v>0</v>
      </c>
      <c r="G22" s="4" t="s">
        <v>415</v>
      </c>
      <c r="H22" s="4" t="s">
        <v>418</v>
      </c>
    </row>
    <row r="23" spans="1:8" ht="30" customHeight="1" x14ac:dyDescent="0.35">
      <c r="A23" s="4" t="s">
        <v>402</v>
      </c>
      <c r="B23" s="4">
        <v>11</v>
      </c>
      <c r="C23" s="4"/>
      <c r="D23" s="4" t="s">
        <v>419</v>
      </c>
      <c r="E23" s="9" t="s">
        <v>75</v>
      </c>
      <c r="F23" s="6">
        <v>0</v>
      </c>
      <c r="G23" s="4" t="s">
        <v>415</v>
      </c>
      <c r="H23" s="4" t="s">
        <v>420</v>
      </c>
    </row>
    <row r="24" spans="1:8" ht="30" customHeight="1" x14ac:dyDescent="0.35">
      <c r="A24" s="4" t="s">
        <v>402</v>
      </c>
      <c r="B24" s="4">
        <v>12</v>
      </c>
      <c r="C24" s="4"/>
      <c r="D24" s="4" t="s">
        <v>421</v>
      </c>
      <c r="E24" s="5" t="s">
        <v>39</v>
      </c>
      <c r="F24" s="6">
        <v>0.96</v>
      </c>
      <c r="G24" s="4" t="s">
        <v>106</v>
      </c>
      <c r="H24" s="4" t="s">
        <v>422</v>
      </c>
    </row>
    <row r="25" spans="1:8" ht="30" customHeight="1" x14ac:dyDescent="0.35">
      <c r="A25" s="4" t="s">
        <v>402</v>
      </c>
      <c r="B25" s="4">
        <v>13</v>
      </c>
      <c r="C25" s="4"/>
      <c r="D25" s="4" t="s">
        <v>423</v>
      </c>
      <c r="E25" s="8" t="s">
        <v>47</v>
      </c>
      <c r="F25" s="6">
        <v>1</v>
      </c>
      <c r="G25" s="4" t="s">
        <v>379</v>
      </c>
      <c r="H25" s="4" t="s">
        <v>379</v>
      </c>
    </row>
    <row r="26" spans="1:8" ht="30" customHeight="1" x14ac:dyDescent="0.35">
      <c r="A26" s="4" t="s">
        <v>402</v>
      </c>
      <c r="B26" s="4">
        <v>14</v>
      </c>
      <c r="C26" s="4"/>
      <c r="D26" s="4" t="s">
        <v>424</v>
      </c>
      <c r="E26" s="4" t="s">
        <v>43</v>
      </c>
      <c r="F26" s="6"/>
      <c r="G26" s="4"/>
      <c r="H26" s="4"/>
    </row>
    <row r="27" spans="1:8" ht="30" customHeight="1" x14ac:dyDescent="0.35">
      <c r="A27" s="4" t="s">
        <v>402</v>
      </c>
      <c r="B27" s="4">
        <v>15</v>
      </c>
      <c r="C27" s="4"/>
      <c r="D27" s="4" t="s">
        <v>425</v>
      </c>
      <c r="E27" s="8" t="s">
        <v>47</v>
      </c>
      <c r="F27" s="6">
        <v>1</v>
      </c>
      <c r="G27" s="4" t="s">
        <v>426</v>
      </c>
      <c r="H27" s="4" t="s">
        <v>426</v>
      </c>
    </row>
    <row r="28" spans="1:8" ht="30" customHeight="1" x14ac:dyDescent="0.35">
      <c r="A28" s="4" t="s">
        <v>402</v>
      </c>
      <c r="B28" s="4">
        <v>16</v>
      </c>
      <c r="C28" s="4"/>
      <c r="D28" s="4" t="s">
        <v>427</v>
      </c>
      <c r="E28" s="4" t="s">
        <v>43</v>
      </c>
      <c r="F28" s="6"/>
      <c r="G28" s="4"/>
      <c r="H28" s="4"/>
    </row>
    <row r="29" spans="1:8" ht="30" customHeight="1" x14ac:dyDescent="0.35">
      <c r="A29" s="4" t="s">
        <v>402</v>
      </c>
      <c r="B29" s="4">
        <v>17</v>
      </c>
      <c r="C29" s="4"/>
      <c r="D29" s="4" t="s">
        <v>428</v>
      </c>
      <c r="E29" s="9" t="s">
        <v>75</v>
      </c>
      <c r="F29" s="6">
        <v>0.15</v>
      </c>
      <c r="G29" s="4" t="s">
        <v>429</v>
      </c>
      <c r="H29" s="4" t="s">
        <v>430</v>
      </c>
    </row>
    <row r="30" spans="1:8" ht="30" customHeight="1" x14ac:dyDescent="0.35">
      <c r="A30" s="4" t="s">
        <v>402</v>
      </c>
      <c r="B30" s="4">
        <v>18</v>
      </c>
      <c r="C30" s="4"/>
      <c r="D30" s="4" t="s">
        <v>431</v>
      </c>
      <c r="E30" s="8" t="s">
        <v>47</v>
      </c>
      <c r="F30" s="6">
        <v>1</v>
      </c>
      <c r="G30" s="4" t="s">
        <v>432</v>
      </c>
      <c r="H30" s="4" t="s">
        <v>432</v>
      </c>
    </row>
    <row r="31" spans="1:8" ht="30" customHeight="1" x14ac:dyDescent="0.35">
      <c r="A31" s="4" t="s">
        <v>402</v>
      </c>
      <c r="B31" s="4">
        <v>19</v>
      </c>
      <c r="C31" s="4"/>
      <c r="D31" s="4" t="s">
        <v>433</v>
      </c>
      <c r="E31" s="4" t="s">
        <v>43</v>
      </c>
      <c r="F31" s="6"/>
      <c r="G31" s="4"/>
      <c r="H31" s="4"/>
    </row>
    <row r="32" spans="1:8" ht="30" customHeight="1" x14ac:dyDescent="0.35">
      <c r="A32" s="4" t="s">
        <v>434</v>
      </c>
      <c r="B32" s="4">
        <v>1</v>
      </c>
      <c r="C32" s="4"/>
      <c r="D32" s="4" t="s">
        <v>405</v>
      </c>
      <c r="E32" s="8" t="s">
        <v>47</v>
      </c>
      <c r="F32" s="6">
        <v>1</v>
      </c>
      <c r="G32" s="4" t="s">
        <v>406</v>
      </c>
      <c r="H32" s="4" t="s">
        <v>406</v>
      </c>
    </row>
    <row r="33" spans="1:8" ht="30" customHeight="1" x14ac:dyDescent="0.35">
      <c r="A33" s="4" t="s">
        <v>434</v>
      </c>
      <c r="B33" s="4">
        <v>2</v>
      </c>
      <c r="C33" s="4"/>
      <c r="D33" s="4" t="s">
        <v>423</v>
      </c>
      <c r="E33" s="8" t="s">
        <v>47</v>
      </c>
      <c r="F33" s="6">
        <v>1</v>
      </c>
      <c r="G33" s="4" t="s">
        <v>379</v>
      </c>
      <c r="H33" s="4" t="s">
        <v>379</v>
      </c>
    </row>
    <row r="34" spans="1:8" ht="30" customHeight="1" x14ac:dyDescent="0.35">
      <c r="A34" s="4" t="s">
        <v>434</v>
      </c>
      <c r="B34" s="4">
        <v>3</v>
      </c>
      <c r="C34" s="4"/>
      <c r="D34" s="4" t="s">
        <v>425</v>
      </c>
      <c r="E34" s="8" t="s">
        <v>47</v>
      </c>
      <c r="F34" s="6">
        <v>1</v>
      </c>
      <c r="G34" s="4" t="s">
        <v>426</v>
      </c>
      <c r="H34" s="4" t="s">
        <v>426</v>
      </c>
    </row>
    <row r="35" spans="1:8" ht="30" customHeight="1" x14ac:dyDescent="0.35">
      <c r="A35" s="4" t="s">
        <v>435</v>
      </c>
      <c r="B35" s="4">
        <v>1</v>
      </c>
      <c r="C35" s="4" t="s">
        <v>436</v>
      </c>
      <c r="D35" s="4" t="s">
        <v>377</v>
      </c>
      <c r="E35" s="8" t="s">
        <v>47</v>
      </c>
      <c r="F35" s="6">
        <v>1</v>
      </c>
      <c r="G35" s="4" t="s">
        <v>379</v>
      </c>
      <c r="H35" s="4" t="s">
        <v>379</v>
      </c>
    </row>
    <row r="36" spans="1:8" ht="30" customHeight="1" x14ac:dyDescent="0.35">
      <c r="A36" s="4" t="s">
        <v>435</v>
      </c>
      <c r="B36" s="4">
        <v>2</v>
      </c>
      <c r="C36" s="4" t="s">
        <v>436</v>
      </c>
      <c r="D36" s="4" t="s">
        <v>437</v>
      </c>
      <c r="E36" s="8" t="s">
        <v>47</v>
      </c>
      <c r="F36" s="6">
        <v>1</v>
      </c>
      <c r="G36" s="4" t="s">
        <v>379</v>
      </c>
      <c r="H36" s="4" t="s">
        <v>379</v>
      </c>
    </row>
    <row r="37" spans="1:8" ht="30" customHeight="1" x14ac:dyDescent="0.35">
      <c r="A37" s="4" t="s">
        <v>435</v>
      </c>
      <c r="B37" s="4">
        <v>3</v>
      </c>
      <c r="C37" s="4" t="s">
        <v>436</v>
      </c>
      <c r="D37" s="4" t="s">
        <v>438</v>
      </c>
      <c r="E37" s="8" t="s">
        <v>47</v>
      </c>
      <c r="F37" s="6">
        <v>1</v>
      </c>
      <c r="G37" s="4" t="s">
        <v>379</v>
      </c>
      <c r="H37" s="4" t="s">
        <v>379</v>
      </c>
    </row>
    <row r="38" spans="1:8" ht="30" customHeight="1" x14ac:dyDescent="0.35">
      <c r="A38" s="4" t="s">
        <v>435</v>
      </c>
      <c r="B38" s="4">
        <v>4</v>
      </c>
      <c r="C38" s="4" t="s">
        <v>436</v>
      </c>
      <c r="D38" s="4" t="s">
        <v>439</v>
      </c>
      <c r="E38" s="8" t="s">
        <v>47</v>
      </c>
      <c r="F38" s="6">
        <v>1</v>
      </c>
      <c r="G38" s="4" t="s">
        <v>379</v>
      </c>
      <c r="H38" s="4" t="s">
        <v>379</v>
      </c>
    </row>
    <row r="39" spans="1:8" ht="30" customHeight="1" x14ac:dyDescent="0.35">
      <c r="A39" s="4" t="s">
        <v>435</v>
      </c>
      <c r="B39" s="4">
        <v>5</v>
      </c>
      <c r="C39" s="4" t="s">
        <v>436</v>
      </c>
      <c r="D39" s="4" t="s">
        <v>440</v>
      </c>
      <c r="E39" s="8" t="s">
        <v>47</v>
      </c>
      <c r="F39" s="6">
        <v>1</v>
      </c>
      <c r="G39" s="4" t="s">
        <v>415</v>
      </c>
      <c r="H39" s="4" t="s">
        <v>415</v>
      </c>
    </row>
    <row r="40" spans="1:8" ht="30" customHeight="1" x14ac:dyDescent="0.35">
      <c r="A40" s="4" t="s">
        <v>435</v>
      </c>
      <c r="B40" s="4">
        <v>6</v>
      </c>
      <c r="C40" s="4" t="s">
        <v>436</v>
      </c>
      <c r="D40" s="4" t="s">
        <v>441</v>
      </c>
      <c r="E40" s="8" t="s">
        <v>47</v>
      </c>
      <c r="F40" s="6">
        <v>1</v>
      </c>
      <c r="G40" s="4" t="s">
        <v>379</v>
      </c>
      <c r="H40" s="4" t="s">
        <v>379</v>
      </c>
    </row>
    <row r="41" spans="1:8" ht="30" customHeight="1" x14ac:dyDescent="0.35">
      <c r="A41" s="4" t="s">
        <v>435</v>
      </c>
      <c r="B41" s="4">
        <v>7</v>
      </c>
      <c r="C41" s="4" t="s">
        <v>436</v>
      </c>
      <c r="D41" s="4" t="s">
        <v>442</v>
      </c>
      <c r="E41" s="8" t="s">
        <v>47</v>
      </c>
      <c r="F41" s="6">
        <v>1</v>
      </c>
      <c r="G41" s="4" t="s">
        <v>379</v>
      </c>
      <c r="H41" s="4" t="s">
        <v>379</v>
      </c>
    </row>
    <row r="42" spans="1:8" ht="30" customHeight="1" x14ac:dyDescent="0.35">
      <c r="A42" s="4" t="s">
        <v>435</v>
      </c>
      <c r="B42" s="4">
        <v>8</v>
      </c>
      <c r="C42" s="4" t="s">
        <v>436</v>
      </c>
      <c r="D42" s="4" t="s">
        <v>443</v>
      </c>
      <c r="E42" s="8" t="s">
        <v>47</v>
      </c>
      <c r="F42" s="6">
        <v>1</v>
      </c>
      <c r="G42" s="4" t="s">
        <v>379</v>
      </c>
      <c r="H42" s="4" t="s">
        <v>379</v>
      </c>
    </row>
    <row r="43" spans="1:8" ht="30" customHeight="1" x14ac:dyDescent="0.35">
      <c r="A43" s="4" t="s">
        <v>435</v>
      </c>
      <c r="B43" s="4">
        <v>9</v>
      </c>
      <c r="C43" s="4" t="s">
        <v>436</v>
      </c>
      <c r="D43" s="4" t="s">
        <v>444</v>
      </c>
      <c r="E43" s="8" t="s">
        <v>47</v>
      </c>
      <c r="F43" s="6">
        <v>1</v>
      </c>
      <c r="G43" s="4" t="s">
        <v>379</v>
      </c>
      <c r="H43" s="4" t="s">
        <v>379</v>
      </c>
    </row>
    <row r="44" spans="1:8" ht="30" customHeight="1" x14ac:dyDescent="0.35">
      <c r="A44" s="4" t="s">
        <v>435</v>
      </c>
      <c r="B44" s="4">
        <v>10</v>
      </c>
      <c r="C44" s="4" t="s">
        <v>436</v>
      </c>
      <c r="D44" s="4" t="s">
        <v>445</v>
      </c>
      <c r="E44" s="8" t="s">
        <v>47</v>
      </c>
      <c r="F44" s="6">
        <v>1</v>
      </c>
      <c r="G44" s="4" t="s">
        <v>379</v>
      </c>
      <c r="H44" s="4" t="s">
        <v>379</v>
      </c>
    </row>
    <row r="45" spans="1:8" ht="30" customHeight="1" x14ac:dyDescent="0.35">
      <c r="A45" s="4" t="s">
        <v>435</v>
      </c>
      <c r="B45" s="4">
        <v>11</v>
      </c>
      <c r="C45" s="4" t="s">
        <v>436</v>
      </c>
      <c r="D45" s="4" t="s">
        <v>446</v>
      </c>
      <c r="E45" s="8" t="s">
        <v>47</v>
      </c>
      <c r="F45" s="6">
        <v>1</v>
      </c>
      <c r="G45" s="4" t="s">
        <v>379</v>
      </c>
      <c r="H45" s="4" t="s">
        <v>379</v>
      </c>
    </row>
    <row r="46" spans="1:8" ht="30" customHeight="1" x14ac:dyDescent="0.35">
      <c r="A46" s="4" t="s">
        <v>435</v>
      </c>
      <c r="B46" s="4">
        <v>12</v>
      </c>
      <c r="C46" s="4" t="s">
        <v>436</v>
      </c>
      <c r="D46" s="4" t="s">
        <v>447</v>
      </c>
      <c r="E46" s="8" t="s">
        <v>47</v>
      </c>
      <c r="F46" s="6">
        <v>1</v>
      </c>
      <c r="G46" s="4" t="s">
        <v>379</v>
      </c>
      <c r="H46" s="4" t="s">
        <v>379</v>
      </c>
    </row>
    <row r="47" spans="1:8" ht="30" customHeight="1" x14ac:dyDescent="0.35">
      <c r="A47" s="4" t="s">
        <v>435</v>
      </c>
      <c r="B47" s="4">
        <v>13</v>
      </c>
      <c r="C47" s="4" t="s">
        <v>436</v>
      </c>
      <c r="D47" s="4" t="s">
        <v>448</v>
      </c>
      <c r="E47" s="8" t="s">
        <v>47</v>
      </c>
      <c r="F47" s="6">
        <v>1</v>
      </c>
      <c r="G47" s="4" t="s">
        <v>379</v>
      </c>
      <c r="H47" s="4" t="s">
        <v>379</v>
      </c>
    </row>
    <row r="48" spans="1:8" ht="30" customHeight="1" x14ac:dyDescent="0.35">
      <c r="A48" s="4" t="s">
        <v>435</v>
      </c>
      <c r="B48" s="4">
        <v>14</v>
      </c>
      <c r="C48" s="4" t="s">
        <v>436</v>
      </c>
      <c r="D48" s="4" t="s">
        <v>449</v>
      </c>
      <c r="E48" s="8" t="s">
        <v>47</v>
      </c>
      <c r="F48" s="6">
        <v>1</v>
      </c>
      <c r="G48" s="4" t="s">
        <v>379</v>
      </c>
      <c r="H48" s="4" t="s">
        <v>379</v>
      </c>
    </row>
    <row r="49" spans="1:8" ht="30" customHeight="1" x14ac:dyDescent="0.35">
      <c r="A49" s="4" t="s">
        <v>435</v>
      </c>
      <c r="B49" s="4">
        <v>15</v>
      </c>
      <c r="C49" s="4" t="s">
        <v>436</v>
      </c>
      <c r="D49" s="4" t="s">
        <v>450</v>
      </c>
      <c r="E49" s="8" t="s">
        <v>47</v>
      </c>
      <c r="F49" s="6">
        <v>1</v>
      </c>
      <c r="G49" s="4" t="s">
        <v>379</v>
      </c>
      <c r="H49" s="4" t="s">
        <v>379</v>
      </c>
    </row>
    <row r="50" spans="1:8" ht="30" customHeight="1" x14ac:dyDescent="0.35">
      <c r="A50" s="4" t="s">
        <v>435</v>
      </c>
      <c r="B50" s="4">
        <v>16</v>
      </c>
      <c r="C50" s="4" t="s">
        <v>436</v>
      </c>
      <c r="D50" s="4" t="s">
        <v>451</v>
      </c>
      <c r="E50" s="8" t="s">
        <v>47</v>
      </c>
      <c r="F50" s="6">
        <v>1</v>
      </c>
      <c r="G50" s="4" t="s">
        <v>379</v>
      </c>
      <c r="H50" s="4" t="s">
        <v>379</v>
      </c>
    </row>
    <row r="51" spans="1:8" ht="30" customHeight="1" x14ac:dyDescent="0.35">
      <c r="A51" s="4" t="s">
        <v>435</v>
      </c>
      <c r="B51" s="4">
        <v>17</v>
      </c>
      <c r="C51" s="4" t="s">
        <v>436</v>
      </c>
      <c r="D51" s="4" t="s">
        <v>452</v>
      </c>
      <c r="E51" s="8" t="s">
        <v>47</v>
      </c>
      <c r="F51" s="6">
        <v>1</v>
      </c>
      <c r="G51" s="4" t="s">
        <v>379</v>
      </c>
      <c r="H51" s="4" t="s">
        <v>379</v>
      </c>
    </row>
    <row r="52" spans="1:8" ht="30" customHeight="1" x14ac:dyDescent="0.35">
      <c r="A52" s="4" t="s">
        <v>435</v>
      </c>
      <c r="B52" s="4">
        <v>18</v>
      </c>
      <c r="C52" s="4" t="s">
        <v>436</v>
      </c>
      <c r="D52" s="4" t="s">
        <v>453</v>
      </c>
      <c r="E52" s="8" t="s">
        <v>47</v>
      </c>
      <c r="F52" s="6">
        <v>1</v>
      </c>
      <c r="G52" s="4" t="s">
        <v>379</v>
      </c>
      <c r="H52" s="4" t="s">
        <v>379</v>
      </c>
    </row>
    <row r="53" spans="1:8" ht="30" customHeight="1" x14ac:dyDescent="0.35">
      <c r="A53" s="4" t="s">
        <v>435</v>
      </c>
      <c r="B53" s="4">
        <v>19</v>
      </c>
      <c r="C53" s="4" t="s">
        <v>436</v>
      </c>
      <c r="D53" s="4" t="s">
        <v>454</v>
      </c>
      <c r="E53" s="8" t="s">
        <v>47</v>
      </c>
      <c r="F53" s="6">
        <v>1</v>
      </c>
      <c r="G53" s="4" t="s">
        <v>379</v>
      </c>
      <c r="H53" s="4" t="s">
        <v>379</v>
      </c>
    </row>
    <row r="54" spans="1:8" ht="30" customHeight="1" x14ac:dyDescent="0.35">
      <c r="A54" s="4" t="s">
        <v>435</v>
      </c>
      <c r="B54" s="4">
        <v>20</v>
      </c>
      <c r="C54" s="4" t="s">
        <v>436</v>
      </c>
      <c r="D54" s="4" t="s">
        <v>455</v>
      </c>
      <c r="E54" s="8" t="s">
        <v>47</v>
      </c>
      <c r="F54" s="6">
        <v>1</v>
      </c>
      <c r="G54" s="4" t="s">
        <v>379</v>
      </c>
      <c r="H54" s="4" t="s">
        <v>379</v>
      </c>
    </row>
    <row r="55" spans="1:8" ht="30" customHeight="1" x14ac:dyDescent="0.35">
      <c r="A55" s="4" t="s">
        <v>435</v>
      </c>
      <c r="B55" s="4">
        <v>21</v>
      </c>
      <c r="C55" s="4" t="s">
        <v>436</v>
      </c>
      <c r="D55" s="4" t="s">
        <v>456</v>
      </c>
      <c r="E55" s="8" t="s">
        <v>47</v>
      </c>
      <c r="F55" s="6">
        <v>1</v>
      </c>
      <c r="G55" s="4" t="s">
        <v>379</v>
      </c>
      <c r="H55" s="4" t="s">
        <v>379</v>
      </c>
    </row>
    <row r="56" spans="1:8" ht="30" customHeight="1" x14ac:dyDescent="0.35">
      <c r="A56" s="4" t="s">
        <v>435</v>
      </c>
      <c r="B56" s="4">
        <v>22</v>
      </c>
      <c r="C56" s="4" t="s">
        <v>457</v>
      </c>
      <c r="D56" s="4" t="s">
        <v>458</v>
      </c>
      <c r="E56" s="8" t="s">
        <v>47</v>
      </c>
      <c r="F56" s="6">
        <v>1</v>
      </c>
      <c r="G56" s="4" t="s">
        <v>415</v>
      </c>
      <c r="H56" s="4" t="s">
        <v>415</v>
      </c>
    </row>
    <row r="57" spans="1:8" ht="30" customHeight="1" x14ac:dyDescent="0.35">
      <c r="A57" s="4" t="s">
        <v>435</v>
      </c>
      <c r="B57" s="4">
        <v>23</v>
      </c>
      <c r="C57" s="4" t="s">
        <v>457</v>
      </c>
      <c r="D57" s="4" t="s">
        <v>459</v>
      </c>
      <c r="E57" s="8" t="s">
        <v>47</v>
      </c>
      <c r="F57" s="6">
        <v>1</v>
      </c>
      <c r="G57" s="4" t="s">
        <v>379</v>
      </c>
      <c r="H57" s="4" t="s">
        <v>379</v>
      </c>
    </row>
    <row r="58" spans="1:8" ht="30" customHeight="1" x14ac:dyDescent="0.35">
      <c r="A58" s="4" t="s">
        <v>435</v>
      </c>
      <c r="B58" s="4">
        <v>24</v>
      </c>
      <c r="C58" s="4" t="s">
        <v>457</v>
      </c>
      <c r="D58" s="4" t="s">
        <v>460</v>
      </c>
      <c r="E58" s="8" t="s">
        <v>47</v>
      </c>
      <c r="F58" s="6">
        <v>1</v>
      </c>
      <c r="G58" s="4" t="s">
        <v>379</v>
      </c>
      <c r="H58" s="4" t="s">
        <v>379</v>
      </c>
    </row>
    <row r="59" spans="1:8" ht="30" customHeight="1" x14ac:dyDescent="0.35">
      <c r="A59" s="4" t="s">
        <v>435</v>
      </c>
      <c r="B59" s="4">
        <v>25</v>
      </c>
      <c r="C59" s="4" t="s">
        <v>457</v>
      </c>
      <c r="D59" s="4" t="s">
        <v>461</v>
      </c>
      <c r="E59" s="8" t="s">
        <v>47</v>
      </c>
      <c r="F59" s="6">
        <v>1</v>
      </c>
      <c r="G59" s="4" t="s">
        <v>379</v>
      </c>
      <c r="H59" s="4" t="s">
        <v>379</v>
      </c>
    </row>
    <row r="60" spans="1:8" ht="30" customHeight="1" x14ac:dyDescent="0.35">
      <c r="A60" s="4" t="s">
        <v>435</v>
      </c>
      <c r="B60" s="4">
        <v>26</v>
      </c>
      <c r="C60" s="4" t="s">
        <v>457</v>
      </c>
      <c r="D60" s="4" t="s">
        <v>462</v>
      </c>
      <c r="E60" s="8" t="s">
        <v>47</v>
      </c>
      <c r="F60" s="6">
        <v>1</v>
      </c>
      <c r="G60" s="4" t="s">
        <v>379</v>
      </c>
      <c r="H60" s="4" t="s">
        <v>379</v>
      </c>
    </row>
    <row r="61" spans="1:8" ht="30" customHeight="1" x14ac:dyDescent="0.35">
      <c r="A61" s="4" t="s">
        <v>435</v>
      </c>
      <c r="B61" s="4">
        <v>27</v>
      </c>
      <c r="C61" s="4" t="s">
        <v>457</v>
      </c>
      <c r="D61" s="4" t="s">
        <v>463</v>
      </c>
      <c r="E61" s="8" t="s">
        <v>47</v>
      </c>
      <c r="F61" s="6">
        <v>1</v>
      </c>
      <c r="G61" s="4" t="s">
        <v>379</v>
      </c>
      <c r="H61" s="4" t="s">
        <v>379</v>
      </c>
    </row>
    <row r="62" spans="1:8" ht="30" customHeight="1" x14ac:dyDescent="0.35">
      <c r="A62" s="4" t="s">
        <v>435</v>
      </c>
      <c r="B62" s="4">
        <v>28</v>
      </c>
      <c r="C62" s="4" t="s">
        <v>457</v>
      </c>
      <c r="D62" s="4" t="s">
        <v>380</v>
      </c>
      <c r="E62" s="8" t="s">
        <v>47</v>
      </c>
      <c r="F62" s="6">
        <v>1</v>
      </c>
      <c r="G62" s="4" t="s">
        <v>379</v>
      </c>
      <c r="H62" s="4" t="s">
        <v>379</v>
      </c>
    </row>
    <row r="63" spans="1:8" ht="30" customHeight="1" x14ac:dyDescent="0.35">
      <c r="A63" s="4" t="s">
        <v>435</v>
      </c>
      <c r="B63" s="4">
        <v>29</v>
      </c>
      <c r="C63" s="4" t="s">
        <v>457</v>
      </c>
      <c r="D63" s="4" t="s">
        <v>464</v>
      </c>
      <c r="E63" s="8" t="s">
        <v>47</v>
      </c>
      <c r="F63" s="6">
        <v>1</v>
      </c>
      <c r="G63" s="4" t="s">
        <v>379</v>
      </c>
      <c r="H63" s="4" t="s">
        <v>379</v>
      </c>
    </row>
    <row r="64" spans="1:8" ht="30" customHeight="1" x14ac:dyDescent="0.35">
      <c r="A64" s="4" t="s">
        <v>435</v>
      </c>
      <c r="B64" s="4">
        <v>30</v>
      </c>
      <c r="C64" s="4" t="s">
        <v>457</v>
      </c>
      <c r="D64" s="4" t="s">
        <v>465</v>
      </c>
      <c r="E64" s="8" t="s">
        <v>47</v>
      </c>
      <c r="F64" s="6">
        <v>1</v>
      </c>
      <c r="G64" s="4" t="s">
        <v>379</v>
      </c>
      <c r="H64" s="4" t="s">
        <v>379</v>
      </c>
    </row>
    <row r="65" spans="1:8" ht="30" customHeight="1" x14ac:dyDescent="0.35">
      <c r="A65" s="4" t="s">
        <v>435</v>
      </c>
      <c r="B65" s="4">
        <v>31</v>
      </c>
      <c r="C65" s="4" t="s">
        <v>457</v>
      </c>
      <c r="D65" s="4" t="s">
        <v>381</v>
      </c>
      <c r="E65" s="8" t="s">
        <v>47</v>
      </c>
      <c r="F65" s="6">
        <v>1</v>
      </c>
      <c r="G65" s="4" t="s">
        <v>379</v>
      </c>
      <c r="H65" s="4" t="s">
        <v>379</v>
      </c>
    </row>
    <row r="66" spans="1:8" ht="30" customHeight="1" x14ac:dyDescent="0.35">
      <c r="A66" s="4" t="s">
        <v>435</v>
      </c>
      <c r="B66" s="4">
        <v>32</v>
      </c>
      <c r="C66" s="4" t="s">
        <v>457</v>
      </c>
      <c r="D66" s="4" t="s">
        <v>466</v>
      </c>
      <c r="E66" s="8" t="s">
        <v>47</v>
      </c>
      <c r="F66" s="6">
        <v>1</v>
      </c>
      <c r="G66" s="4" t="s">
        <v>379</v>
      </c>
      <c r="H66" s="4" t="s">
        <v>379</v>
      </c>
    </row>
    <row r="67" spans="1:8" ht="30" customHeight="1" x14ac:dyDescent="0.35">
      <c r="A67" s="4" t="s">
        <v>435</v>
      </c>
      <c r="B67" s="4">
        <v>33</v>
      </c>
      <c r="C67" s="4" t="s">
        <v>457</v>
      </c>
      <c r="D67" s="4" t="s">
        <v>467</v>
      </c>
      <c r="E67" s="8" t="s">
        <v>47</v>
      </c>
      <c r="F67" s="6">
        <v>1</v>
      </c>
      <c r="G67" s="4" t="s">
        <v>379</v>
      </c>
      <c r="H67" s="4" t="s">
        <v>379</v>
      </c>
    </row>
    <row r="68" spans="1:8" ht="30" customHeight="1" x14ac:dyDescent="0.35">
      <c r="A68" s="4" t="s">
        <v>435</v>
      </c>
      <c r="B68" s="4">
        <v>34</v>
      </c>
      <c r="C68" s="4" t="s">
        <v>457</v>
      </c>
      <c r="D68" s="4" t="s">
        <v>468</v>
      </c>
      <c r="E68" s="8" t="s">
        <v>47</v>
      </c>
      <c r="F68" s="6">
        <v>1</v>
      </c>
      <c r="G68" s="4" t="s">
        <v>379</v>
      </c>
      <c r="H68" s="4" t="s">
        <v>379</v>
      </c>
    </row>
    <row r="69" spans="1:8" ht="30" customHeight="1" x14ac:dyDescent="0.35">
      <c r="A69" s="4" t="s">
        <v>435</v>
      </c>
      <c r="B69" s="4">
        <v>35</v>
      </c>
      <c r="C69" s="4" t="s">
        <v>457</v>
      </c>
      <c r="D69" s="4" t="s">
        <v>469</v>
      </c>
      <c r="E69" s="8" t="s">
        <v>47</v>
      </c>
      <c r="F69" s="6">
        <v>1</v>
      </c>
      <c r="G69" s="4" t="s">
        <v>379</v>
      </c>
      <c r="H69" s="4" t="s">
        <v>379</v>
      </c>
    </row>
    <row r="70" spans="1:8" ht="30" customHeight="1" x14ac:dyDescent="0.35">
      <c r="A70" s="4" t="s">
        <v>435</v>
      </c>
      <c r="B70" s="4">
        <v>36</v>
      </c>
      <c r="C70" s="4" t="s">
        <v>457</v>
      </c>
      <c r="D70" s="4" t="s">
        <v>470</v>
      </c>
      <c r="E70" s="8" t="s">
        <v>47</v>
      </c>
      <c r="F70" s="6">
        <v>1</v>
      </c>
      <c r="G70" s="4" t="s">
        <v>379</v>
      </c>
      <c r="H70" s="4" t="s">
        <v>379</v>
      </c>
    </row>
    <row r="71" spans="1:8" ht="30" customHeight="1" x14ac:dyDescent="0.35">
      <c r="A71" s="4" t="s">
        <v>435</v>
      </c>
      <c r="B71" s="4">
        <v>37</v>
      </c>
      <c r="C71" s="4" t="s">
        <v>457</v>
      </c>
      <c r="D71" s="4" t="s">
        <v>471</v>
      </c>
      <c r="E71" s="8" t="s">
        <v>47</v>
      </c>
      <c r="F71" s="6">
        <v>1</v>
      </c>
      <c r="G71" s="4" t="s">
        <v>379</v>
      </c>
      <c r="H71" s="4" t="s">
        <v>379</v>
      </c>
    </row>
    <row r="72" spans="1:8" ht="30" customHeight="1" x14ac:dyDescent="0.35">
      <c r="A72" s="4" t="s">
        <v>435</v>
      </c>
      <c r="B72" s="4">
        <v>38</v>
      </c>
      <c r="C72" s="4" t="s">
        <v>457</v>
      </c>
      <c r="D72" s="4" t="s">
        <v>472</v>
      </c>
      <c r="E72" s="8" t="s">
        <v>47</v>
      </c>
      <c r="F72" s="6">
        <v>1</v>
      </c>
      <c r="G72" s="4" t="s">
        <v>379</v>
      </c>
      <c r="H72" s="4" t="s">
        <v>379</v>
      </c>
    </row>
    <row r="73" spans="1:8" ht="30" customHeight="1" x14ac:dyDescent="0.35">
      <c r="A73" s="4" t="s">
        <v>435</v>
      </c>
      <c r="B73" s="4">
        <v>39</v>
      </c>
      <c r="C73" s="4" t="s">
        <v>457</v>
      </c>
      <c r="D73" s="4" t="s">
        <v>473</v>
      </c>
      <c r="E73" s="8" t="s">
        <v>47</v>
      </c>
      <c r="F73" s="6">
        <v>1</v>
      </c>
      <c r="G73" s="4" t="s">
        <v>379</v>
      </c>
      <c r="H73" s="4" t="s">
        <v>379</v>
      </c>
    </row>
    <row r="74" spans="1:8" ht="30" customHeight="1" x14ac:dyDescent="0.35">
      <c r="A74" s="4" t="s">
        <v>435</v>
      </c>
      <c r="B74" s="4">
        <v>40</v>
      </c>
      <c r="C74" s="4" t="s">
        <v>457</v>
      </c>
      <c r="D74" s="4" t="s">
        <v>474</v>
      </c>
      <c r="E74" s="8" t="s">
        <v>47</v>
      </c>
      <c r="F74" s="6">
        <v>1</v>
      </c>
      <c r="G74" s="4" t="s">
        <v>379</v>
      </c>
      <c r="H74" s="4" t="s">
        <v>379</v>
      </c>
    </row>
    <row r="75" spans="1:8" ht="30" customHeight="1" x14ac:dyDescent="0.35">
      <c r="A75" s="4" t="s">
        <v>435</v>
      </c>
      <c r="B75" s="4">
        <v>41</v>
      </c>
      <c r="C75" s="4" t="s">
        <v>457</v>
      </c>
      <c r="D75" s="4" t="s">
        <v>475</v>
      </c>
      <c r="E75" s="8" t="s">
        <v>47</v>
      </c>
      <c r="F75" s="6">
        <v>1</v>
      </c>
      <c r="G75" s="4" t="s">
        <v>379</v>
      </c>
      <c r="H75" s="4" t="s">
        <v>379</v>
      </c>
    </row>
    <row r="76" spans="1:8" ht="30" customHeight="1" x14ac:dyDescent="0.35">
      <c r="A76" s="4" t="s">
        <v>435</v>
      </c>
      <c r="B76" s="4">
        <v>42</v>
      </c>
      <c r="C76" s="4" t="s">
        <v>476</v>
      </c>
      <c r="D76" s="4" t="s">
        <v>477</v>
      </c>
      <c r="E76" s="8" t="s">
        <v>47</v>
      </c>
      <c r="F76" s="6">
        <v>1</v>
      </c>
      <c r="G76" s="4" t="s">
        <v>415</v>
      </c>
      <c r="H76" s="4" t="s">
        <v>415</v>
      </c>
    </row>
    <row r="77" spans="1:8" ht="30" customHeight="1" x14ac:dyDescent="0.35">
      <c r="A77" s="4" t="s">
        <v>435</v>
      </c>
      <c r="B77" s="4">
        <v>43</v>
      </c>
      <c r="C77" s="4" t="s">
        <v>476</v>
      </c>
      <c r="D77" s="4" t="s">
        <v>478</v>
      </c>
      <c r="E77" s="8" t="s">
        <v>47</v>
      </c>
      <c r="F77" s="6">
        <v>1</v>
      </c>
      <c r="G77" s="4" t="s">
        <v>415</v>
      </c>
      <c r="H77" s="4" t="s">
        <v>415</v>
      </c>
    </row>
    <row r="78" spans="1:8" ht="30" customHeight="1" x14ac:dyDescent="0.35">
      <c r="A78" s="4" t="s">
        <v>435</v>
      </c>
      <c r="B78" s="4">
        <v>44</v>
      </c>
      <c r="C78" s="4" t="s">
        <v>476</v>
      </c>
      <c r="D78" s="4" t="s">
        <v>479</v>
      </c>
      <c r="E78" s="8" t="s">
        <v>47</v>
      </c>
      <c r="F78" s="6">
        <v>1</v>
      </c>
      <c r="G78" s="4" t="s">
        <v>379</v>
      </c>
      <c r="H78" s="4" t="s">
        <v>379</v>
      </c>
    </row>
    <row r="79" spans="1:8" ht="30" customHeight="1" x14ac:dyDescent="0.35">
      <c r="A79" s="4" t="s">
        <v>435</v>
      </c>
      <c r="B79" s="4">
        <v>45</v>
      </c>
      <c r="C79" s="4" t="s">
        <v>476</v>
      </c>
      <c r="D79" s="4" t="s">
        <v>480</v>
      </c>
      <c r="E79" s="9" t="s">
        <v>75</v>
      </c>
      <c r="F79" s="6">
        <v>0</v>
      </c>
      <c r="G79" s="4" t="s">
        <v>415</v>
      </c>
      <c r="H79" s="4" t="s">
        <v>379</v>
      </c>
    </row>
    <row r="80" spans="1:8" ht="30" customHeight="1" x14ac:dyDescent="0.35">
      <c r="A80" s="4" t="s">
        <v>435</v>
      </c>
      <c r="B80" s="4">
        <v>46</v>
      </c>
      <c r="C80" s="4" t="s">
        <v>476</v>
      </c>
      <c r="D80" s="4" t="s">
        <v>481</v>
      </c>
      <c r="E80" s="8" t="s">
        <v>47</v>
      </c>
      <c r="F80" s="6">
        <v>1</v>
      </c>
      <c r="G80" s="4" t="s">
        <v>415</v>
      </c>
      <c r="H80" s="4" t="s">
        <v>415</v>
      </c>
    </row>
    <row r="81" spans="1:8" ht="30" customHeight="1" x14ac:dyDescent="0.35">
      <c r="A81" s="4" t="s">
        <v>435</v>
      </c>
      <c r="B81" s="4">
        <v>47</v>
      </c>
      <c r="C81" s="4" t="s">
        <v>476</v>
      </c>
      <c r="D81" s="4" t="s">
        <v>482</v>
      </c>
      <c r="E81" s="8" t="s">
        <v>47</v>
      </c>
      <c r="F81" s="6">
        <v>1</v>
      </c>
      <c r="G81" s="4" t="s">
        <v>379</v>
      </c>
      <c r="H81" s="4" t="s">
        <v>379</v>
      </c>
    </row>
    <row r="82" spans="1:8" ht="30" customHeight="1" x14ac:dyDescent="0.35">
      <c r="A82" s="4" t="s">
        <v>435</v>
      </c>
      <c r="B82" s="4">
        <v>48</v>
      </c>
      <c r="C82" s="4" t="s">
        <v>476</v>
      </c>
      <c r="D82" s="4" t="s">
        <v>483</v>
      </c>
      <c r="E82" s="8" t="s">
        <v>47</v>
      </c>
      <c r="F82" s="6">
        <v>1</v>
      </c>
      <c r="G82" s="4" t="s">
        <v>379</v>
      </c>
      <c r="H82" s="4" t="s">
        <v>379</v>
      </c>
    </row>
    <row r="83" spans="1:8" ht="30" customHeight="1" x14ac:dyDescent="0.35">
      <c r="A83" s="4" t="s">
        <v>435</v>
      </c>
      <c r="B83" s="4">
        <v>49</v>
      </c>
      <c r="C83" s="4" t="s">
        <v>476</v>
      </c>
      <c r="D83" s="4" t="s">
        <v>484</v>
      </c>
      <c r="E83" s="8" t="s">
        <v>47</v>
      </c>
      <c r="F83" s="6">
        <v>1</v>
      </c>
      <c r="G83" s="4" t="s">
        <v>379</v>
      </c>
      <c r="H83" s="4" t="s">
        <v>379</v>
      </c>
    </row>
    <row r="84" spans="1:8" ht="30" customHeight="1" x14ac:dyDescent="0.35">
      <c r="A84" s="4" t="s">
        <v>435</v>
      </c>
      <c r="B84" s="4">
        <v>50</v>
      </c>
      <c r="C84" s="4" t="s">
        <v>476</v>
      </c>
      <c r="D84" s="4" t="s">
        <v>485</v>
      </c>
      <c r="E84" s="8" t="s">
        <v>47</v>
      </c>
      <c r="F84" s="6">
        <v>1</v>
      </c>
      <c r="G84" s="4" t="s">
        <v>379</v>
      </c>
      <c r="H84" s="4" t="s">
        <v>379</v>
      </c>
    </row>
    <row r="85" spans="1:8" ht="30" customHeight="1" x14ac:dyDescent="0.35">
      <c r="A85" s="4" t="s">
        <v>435</v>
      </c>
      <c r="B85" s="4">
        <v>51</v>
      </c>
      <c r="C85" s="4" t="s">
        <v>476</v>
      </c>
      <c r="D85" s="4" t="s">
        <v>486</v>
      </c>
      <c r="E85" s="8" t="s">
        <v>47</v>
      </c>
      <c r="F85" s="6">
        <v>1</v>
      </c>
      <c r="G85" s="4" t="s">
        <v>379</v>
      </c>
      <c r="H85" s="4" t="s">
        <v>379</v>
      </c>
    </row>
    <row r="86" spans="1:8" ht="30" customHeight="1" x14ac:dyDescent="0.35">
      <c r="A86" s="4" t="s">
        <v>435</v>
      </c>
      <c r="B86" s="4">
        <v>52</v>
      </c>
      <c r="C86" s="4" t="s">
        <v>476</v>
      </c>
      <c r="D86" s="4" t="s">
        <v>487</v>
      </c>
      <c r="E86" s="8" t="s">
        <v>47</v>
      </c>
      <c r="F86" s="6">
        <v>1</v>
      </c>
      <c r="G86" s="4" t="s">
        <v>379</v>
      </c>
      <c r="H86" s="4" t="s">
        <v>379</v>
      </c>
    </row>
    <row r="87" spans="1:8" ht="30" customHeight="1" x14ac:dyDescent="0.35">
      <c r="A87" s="4" t="s">
        <v>435</v>
      </c>
      <c r="B87" s="4">
        <v>53</v>
      </c>
      <c r="C87" s="4" t="s">
        <v>476</v>
      </c>
      <c r="D87" s="4" t="s">
        <v>488</v>
      </c>
      <c r="E87" s="8" t="s">
        <v>47</v>
      </c>
      <c r="F87" s="6">
        <v>1</v>
      </c>
      <c r="G87" s="4" t="s">
        <v>379</v>
      </c>
      <c r="H87" s="4" t="s">
        <v>379</v>
      </c>
    </row>
    <row r="88" spans="1:8" ht="30" customHeight="1" x14ac:dyDescent="0.35">
      <c r="A88" s="4" t="s">
        <v>435</v>
      </c>
      <c r="B88" s="4">
        <v>54</v>
      </c>
      <c r="C88" s="4" t="s">
        <v>476</v>
      </c>
      <c r="D88" s="4" t="s">
        <v>489</v>
      </c>
      <c r="E88" s="8" t="s">
        <v>47</v>
      </c>
      <c r="F88" s="6">
        <v>1</v>
      </c>
      <c r="G88" s="4" t="s">
        <v>379</v>
      </c>
      <c r="H88" s="4" t="s">
        <v>379</v>
      </c>
    </row>
    <row r="89" spans="1:8" ht="30" customHeight="1" x14ac:dyDescent="0.35">
      <c r="A89" s="4" t="s">
        <v>435</v>
      </c>
      <c r="B89" s="4">
        <v>55</v>
      </c>
      <c r="C89" s="4" t="s">
        <v>476</v>
      </c>
      <c r="D89" s="4" t="s">
        <v>490</v>
      </c>
      <c r="E89" s="8" t="s">
        <v>47</v>
      </c>
      <c r="F89" s="6">
        <v>1</v>
      </c>
      <c r="G89" s="4" t="s">
        <v>379</v>
      </c>
      <c r="H89" s="4" t="s">
        <v>379</v>
      </c>
    </row>
    <row r="90" spans="1:8" ht="30" customHeight="1" x14ac:dyDescent="0.35">
      <c r="A90" s="4" t="s">
        <v>435</v>
      </c>
      <c r="B90" s="4">
        <v>56</v>
      </c>
      <c r="C90" s="4" t="s">
        <v>476</v>
      </c>
      <c r="D90" s="4" t="s">
        <v>491</v>
      </c>
      <c r="E90" s="8" t="s">
        <v>47</v>
      </c>
      <c r="F90" s="6">
        <v>1</v>
      </c>
      <c r="G90" s="4" t="s">
        <v>379</v>
      </c>
      <c r="H90" s="4" t="s">
        <v>379</v>
      </c>
    </row>
    <row r="91" spans="1:8" ht="30" customHeight="1" x14ac:dyDescent="0.35">
      <c r="A91" s="4" t="s">
        <v>435</v>
      </c>
      <c r="B91" s="4">
        <v>57</v>
      </c>
      <c r="C91" s="4" t="s">
        <v>476</v>
      </c>
      <c r="D91" s="4" t="s">
        <v>492</v>
      </c>
      <c r="E91" s="8" t="s">
        <v>47</v>
      </c>
      <c r="F91" s="6">
        <v>1</v>
      </c>
      <c r="G91" s="4" t="s">
        <v>379</v>
      </c>
      <c r="H91" s="4" t="s">
        <v>379</v>
      </c>
    </row>
    <row r="92" spans="1:8" ht="30" customHeight="1" x14ac:dyDescent="0.35">
      <c r="A92" s="4" t="s">
        <v>435</v>
      </c>
      <c r="B92" s="4">
        <v>58</v>
      </c>
      <c r="C92" s="4" t="s">
        <v>476</v>
      </c>
      <c r="D92" s="4" t="s">
        <v>493</v>
      </c>
      <c r="E92" s="8" t="s">
        <v>47</v>
      </c>
      <c r="F92" s="6">
        <v>1</v>
      </c>
      <c r="G92" s="4" t="s">
        <v>379</v>
      </c>
      <c r="H92" s="4" t="s">
        <v>379</v>
      </c>
    </row>
    <row r="93" spans="1:8" ht="30" customHeight="1" x14ac:dyDescent="0.35">
      <c r="A93" s="4" t="s">
        <v>435</v>
      </c>
      <c r="B93" s="4">
        <v>59</v>
      </c>
      <c r="C93" s="4" t="s">
        <v>476</v>
      </c>
      <c r="D93" s="4" t="s">
        <v>494</v>
      </c>
      <c r="E93" s="8" t="s">
        <v>47</v>
      </c>
      <c r="F93" s="6">
        <v>1</v>
      </c>
      <c r="G93" s="4" t="s">
        <v>379</v>
      </c>
      <c r="H93" s="4" t="s">
        <v>379</v>
      </c>
    </row>
    <row r="94" spans="1:8" ht="30" customHeight="1" x14ac:dyDescent="0.35">
      <c r="A94" s="4" t="s">
        <v>435</v>
      </c>
      <c r="B94" s="4">
        <v>60</v>
      </c>
      <c r="C94" s="4" t="s">
        <v>476</v>
      </c>
      <c r="D94" s="4" t="s">
        <v>495</v>
      </c>
      <c r="E94" s="8" t="s">
        <v>47</v>
      </c>
      <c r="F94" s="6">
        <v>1</v>
      </c>
      <c r="G94" s="4" t="s">
        <v>379</v>
      </c>
      <c r="H94" s="4" t="s">
        <v>379</v>
      </c>
    </row>
    <row r="95" spans="1:8" ht="30" customHeight="1" x14ac:dyDescent="0.35">
      <c r="A95" s="4" t="s">
        <v>435</v>
      </c>
      <c r="B95" s="4">
        <v>61</v>
      </c>
      <c r="C95" s="4" t="s">
        <v>476</v>
      </c>
      <c r="D95" s="4" t="s">
        <v>496</v>
      </c>
      <c r="E95" s="8" t="s">
        <v>47</v>
      </c>
      <c r="F95" s="6">
        <v>1</v>
      </c>
      <c r="G95" s="4" t="s">
        <v>379</v>
      </c>
      <c r="H95" s="4" t="s">
        <v>379</v>
      </c>
    </row>
    <row r="96" spans="1:8" ht="30" customHeight="1" x14ac:dyDescent="0.35">
      <c r="A96" s="4" t="s">
        <v>435</v>
      </c>
      <c r="B96" s="4">
        <v>62</v>
      </c>
      <c r="C96" s="4" t="s">
        <v>476</v>
      </c>
      <c r="D96" s="4" t="s">
        <v>497</v>
      </c>
      <c r="E96" s="8" t="s">
        <v>47</v>
      </c>
      <c r="F96" s="6">
        <v>1</v>
      </c>
      <c r="G96" s="4" t="s">
        <v>379</v>
      </c>
      <c r="H96" s="4" t="s">
        <v>379</v>
      </c>
    </row>
    <row r="97" spans="1:8" ht="30" customHeight="1" x14ac:dyDescent="0.35">
      <c r="A97" s="4" t="s">
        <v>435</v>
      </c>
      <c r="B97" s="4">
        <v>63</v>
      </c>
      <c r="C97" s="4" t="s">
        <v>476</v>
      </c>
      <c r="D97" s="4" t="s">
        <v>498</v>
      </c>
      <c r="E97" s="8" t="s">
        <v>47</v>
      </c>
      <c r="F97" s="6">
        <v>1</v>
      </c>
      <c r="G97" s="4" t="s">
        <v>379</v>
      </c>
      <c r="H97" s="4" t="s">
        <v>379</v>
      </c>
    </row>
    <row r="98" spans="1:8" ht="30" customHeight="1" x14ac:dyDescent="0.35">
      <c r="A98" s="4" t="s">
        <v>435</v>
      </c>
      <c r="B98" s="4">
        <v>64</v>
      </c>
      <c r="C98" s="4" t="s">
        <v>499</v>
      </c>
      <c r="D98" s="4" t="s">
        <v>500</v>
      </c>
      <c r="E98" s="8" t="s">
        <v>47</v>
      </c>
      <c r="F98" s="6">
        <v>1</v>
      </c>
      <c r="G98" s="4" t="s">
        <v>379</v>
      </c>
      <c r="H98" s="4" t="s">
        <v>379</v>
      </c>
    </row>
    <row r="99" spans="1:8" ht="30" customHeight="1" x14ac:dyDescent="0.35">
      <c r="A99" s="4" t="s">
        <v>435</v>
      </c>
      <c r="B99" s="4">
        <v>65</v>
      </c>
      <c r="C99" s="4" t="s">
        <v>499</v>
      </c>
      <c r="D99" s="4" t="s">
        <v>501</v>
      </c>
      <c r="E99" s="8" t="s">
        <v>47</v>
      </c>
      <c r="F99" s="6">
        <v>1</v>
      </c>
      <c r="G99" s="4" t="s">
        <v>415</v>
      </c>
      <c r="H99" s="4" t="s">
        <v>415</v>
      </c>
    </row>
    <row r="100" spans="1:8" ht="30" customHeight="1" x14ac:dyDescent="0.35">
      <c r="A100" s="4" t="s">
        <v>435</v>
      </c>
      <c r="B100" s="4">
        <v>66</v>
      </c>
      <c r="C100" s="4" t="s">
        <v>499</v>
      </c>
      <c r="D100" s="4" t="s">
        <v>502</v>
      </c>
      <c r="E100" s="8" t="s">
        <v>47</v>
      </c>
      <c r="F100" s="6">
        <v>1</v>
      </c>
      <c r="G100" s="4" t="s">
        <v>379</v>
      </c>
      <c r="H100" s="4" t="s">
        <v>379</v>
      </c>
    </row>
    <row r="101" spans="1:8" ht="30" customHeight="1" x14ac:dyDescent="0.35">
      <c r="A101" s="4" t="s">
        <v>435</v>
      </c>
      <c r="B101" s="4">
        <v>67</v>
      </c>
      <c r="C101" s="4" t="s">
        <v>499</v>
      </c>
      <c r="D101" s="4" t="s">
        <v>503</v>
      </c>
      <c r="E101" s="8" t="s">
        <v>47</v>
      </c>
      <c r="F101" s="6">
        <v>1</v>
      </c>
      <c r="G101" s="4" t="s">
        <v>379</v>
      </c>
      <c r="H101" s="4" t="s">
        <v>379</v>
      </c>
    </row>
    <row r="102" spans="1:8" ht="30" customHeight="1" x14ac:dyDescent="0.35">
      <c r="A102" s="4" t="s">
        <v>435</v>
      </c>
      <c r="B102" s="4">
        <v>68</v>
      </c>
      <c r="C102" s="4" t="s">
        <v>499</v>
      </c>
      <c r="D102" s="4" t="s">
        <v>504</v>
      </c>
      <c r="E102" s="8" t="s">
        <v>47</v>
      </c>
      <c r="F102" s="6">
        <v>1</v>
      </c>
      <c r="G102" s="4" t="s">
        <v>415</v>
      </c>
      <c r="H102" s="4" t="s">
        <v>415</v>
      </c>
    </row>
    <row r="103" spans="1:8" ht="30" customHeight="1" x14ac:dyDescent="0.35">
      <c r="A103" s="4" t="s">
        <v>435</v>
      </c>
      <c r="B103" s="4">
        <v>69</v>
      </c>
      <c r="C103" s="4" t="s">
        <v>499</v>
      </c>
      <c r="D103" s="4" t="s">
        <v>505</v>
      </c>
      <c r="E103" s="8" t="s">
        <v>47</v>
      </c>
      <c r="F103" s="6">
        <v>1</v>
      </c>
      <c r="G103" s="4" t="s">
        <v>379</v>
      </c>
      <c r="H103" s="4" t="s">
        <v>379</v>
      </c>
    </row>
    <row r="104" spans="1:8" ht="30" customHeight="1" x14ac:dyDescent="0.35">
      <c r="A104" s="4" t="s">
        <v>435</v>
      </c>
      <c r="B104" s="4">
        <v>70</v>
      </c>
      <c r="C104" s="4" t="s">
        <v>499</v>
      </c>
      <c r="D104" s="4" t="s">
        <v>506</v>
      </c>
      <c r="E104" s="8" t="s">
        <v>47</v>
      </c>
      <c r="F104" s="6">
        <v>1</v>
      </c>
      <c r="G104" s="4" t="s">
        <v>379</v>
      </c>
      <c r="H104" s="4" t="s">
        <v>379</v>
      </c>
    </row>
    <row r="105" spans="1:8" ht="30" customHeight="1" x14ac:dyDescent="0.35">
      <c r="A105" s="4" t="s">
        <v>435</v>
      </c>
      <c r="B105" s="4">
        <v>71</v>
      </c>
      <c r="C105" s="4" t="s">
        <v>499</v>
      </c>
      <c r="D105" s="4" t="s">
        <v>507</v>
      </c>
      <c r="E105" s="8" t="s">
        <v>47</v>
      </c>
      <c r="F105" s="6">
        <v>1</v>
      </c>
      <c r="G105" s="4" t="s">
        <v>379</v>
      </c>
      <c r="H105" s="4" t="s">
        <v>379</v>
      </c>
    </row>
    <row r="106" spans="1:8" ht="30" customHeight="1" x14ac:dyDescent="0.35">
      <c r="A106" s="4" t="s">
        <v>435</v>
      </c>
      <c r="B106" s="4">
        <v>72</v>
      </c>
      <c r="C106" s="4" t="s">
        <v>499</v>
      </c>
      <c r="D106" s="4" t="s">
        <v>508</v>
      </c>
      <c r="E106" s="8" t="s">
        <v>47</v>
      </c>
      <c r="F106" s="6">
        <v>1</v>
      </c>
      <c r="G106" s="4" t="s">
        <v>379</v>
      </c>
      <c r="H106" s="4" t="s">
        <v>379</v>
      </c>
    </row>
    <row r="107" spans="1:8" ht="30" customHeight="1" x14ac:dyDescent="0.35">
      <c r="A107" s="4" t="s">
        <v>435</v>
      </c>
      <c r="B107" s="4">
        <v>73</v>
      </c>
      <c r="C107" s="4" t="s">
        <v>499</v>
      </c>
      <c r="D107" s="4" t="s">
        <v>509</v>
      </c>
      <c r="E107" s="8" t="s">
        <v>47</v>
      </c>
      <c r="F107" s="6">
        <v>1</v>
      </c>
      <c r="G107" s="4" t="s">
        <v>379</v>
      </c>
      <c r="H107" s="4" t="s">
        <v>379</v>
      </c>
    </row>
    <row r="108" spans="1:8" ht="30" customHeight="1" x14ac:dyDescent="0.35">
      <c r="A108" s="4" t="s">
        <v>435</v>
      </c>
      <c r="B108" s="4">
        <v>74</v>
      </c>
      <c r="C108" s="4" t="s">
        <v>499</v>
      </c>
      <c r="D108" s="4" t="s">
        <v>510</v>
      </c>
      <c r="E108" s="8" t="s">
        <v>47</v>
      </c>
      <c r="F108" s="6">
        <v>1</v>
      </c>
      <c r="G108" s="4" t="s">
        <v>379</v>
      </c>
      <c r="H108" s="4" t="s">
        <v>379</v>
      </c>
    </row>
    <row r="109" spans="1:8" ht="30" customHeight="1" x14ac:dyDescent="0.35">
      <c r="A109" s="4" t="s">
        <v>435</v>
      </c>
      <c r="B109" s="4">
        <v>75</v>
      </c>
      <c r="C109" s="4" t="s">
        <v>499</v>
      </c>
      <c r="D109" s="4" t="s">
        <v>511</v>
      </c>
      <c r="E109" s="8" t="s">
        <v>47</v>
      </c>
      <c r="F109" s="6">
        <v>1</v>
      </c>
      <c r="G109" s="4" t="s">
        <v>379</v>
      </c>
      <c r="H109" s="4" t="s">
        <v>379</v>
      </c>
    </row>
    <row r="110" spans="1:8" ht="30" customHeight="1" x14ac:dyDescent="0.35">
      <c r="A110" s="4" t="s">
        <v>435</v>
      </c>
      <c r="B110" s="4">
        <v>76</v>
      </c>
      <c r="C110" s="4" t="s">
        <v>499</v>
      </c>
      <c r="D110" s="4" t="s">
        <v>512</v>
      </c>
      <c r="E110" s="8" t="s">
        <v>47</v>
      </c>
      <c r="F110" s="6">
        <v>1</v>
      </c>
      <c r="G110" s="4" t="s">
        <v>379</v>
      </c>
      <c r="H110" s="4" t="s">
        <v>379</v>
      </c>
    </row>
    <row r="111" spans="1:8" ht="30" customHeight="1" x14ac:dyDescent="0.35">
      <c r="A111" s="4" t="s">
        <v>435</v>
      </c>
      <c r="B111" s="4">
        <v>77</v>
      </c>
      <c r="C111" s="4" t="s">
        <v>499</v>
      </c>
      <c r="D111" s="4" t="s">
        <v>513</v>
      </c>
      <c r="E111" s="8" t="s">
        <v>47</v>
      </c>
      <c r="F111" s="6">
        <v>1</v>
      </c>
      <c r="G111" s="4" t="s">
        <v>379</v>
      </c>
      <c r="H111" s="4" t="s">
        <v>379</v>
      </c>
    </row>
    <row r="112" spans="1:8" ht="30" customHeight="1" x14ac:dyDescent="0.35">
      <c r="A112" s="4" t="s">
        <v>435</v>
      </c>
      <c r="B112" s="4">
        <v>78</v>
      </c>
      <c r="C112" s="4" t="s">
        <v>499</v>
      </c>
      <c r="D112" s="4" t="s">
        <v>514</v>
      </c>
      <c r="E112" s="8" t="s">
        <v>47</v>
      </c>
      <c r="F112" s="6">
        <v>1</v>
      </c>
      <c r="G112" s="4" t="s">
        <v>379</v>
      </c>
      <c r="H112" s="4" t="s">
        <v>379</v>
      </c>
    </row>
    <row r="113" spans="1:8" ht="30" customHeight="1" x14ac:dyDescent="0.35">
      <c r="A113" s="4" t="s">
        <v>435</v>
      </c>
      <c r="B113" s="4">
        <v>79</v>
      </c>
      <c r="C113" s="4" t="s">
        <v>499</v>
      </c>
      <c r="D113" s="4" t="s">
        <v>515</v>
      </c>
      <c r="E113" s="8" t="s">
        <v>47</v>
      </c>
      <c r="F113" s="6">
        <v>1</v>
      </c>
      <c r="G113" s="4" t="s">
        <v>379</v>
      </c>
      <c r="H113" s="4" t="s">
        <v>379</v>
      </c>
    </row>
    <row r="114" spans="1:8" ht="30" customHeight="1" x14ac:dyDescent="0.35">
      <c r="A114" s="4" t="s">
        <v>435</v>
      </c>
      <c r="B114" s="4">
        <v>80</v>
      </c>
      <c r="C114" s="4" t="s">
        <v>499</v>
      </c>
      <c r="D114" s="4" t="s">
        <v>516</v>
      </c>
      <c r="E114" s="8" t="s">
        <v>47</v>
      </c>
      <c r="F114" s="6">
        <v>1</v>
      </c>
      <c r="G114" s="4" t="s">
        <v>379</v>
      </c>
      <c r="H114" s="4" t="s">
        <v>379</v>
      </c>
    </row>
    <row r="115" spans="1:8" ht="30" customHeight="1" x14ac:dyDescent="0.35">
      <c r="A115" s="4" t="s">
        <v>435</v>
      </c>
      <c r="B115" s="4">
        <v>81</v>
      </c>
      <c r="C115" s="4" t="s">
        <v>499</v>
      </c>
      <c r="D115" s="4" t="s">
        <v>517</v>
      </c>
      <c r="E115" s="8" t="s">
        <v>47</v>
      </c>
      <c r="F115" s="6">
        <v>1</v>
      </c>
      <c r="G115" s="4" t="s">
        <v>379</v>
      </c>
      <c r="H115" s="4" t="s">
        <v>379</v>
      </c>
    </row>
    <row r="116" spans="1:8" ht="30" customHeight="1" x14ac:dyDescent="0.35">
      <c r="A116" s="4" t="s">
        <v>435</v>
      </c>
      <c r="B116" s="4">
        <v>82</v>
      </c>
      <c r="C116" s="4" t="s">
        <v>499</v>
      </c>
      <c r="D116" s="4" t="s">
        <v>518</v>
      </c>
      <c r="E116" s="8" t="s">
        <v>47</v>
      </c>
      <c r="F116" s="6">
        <v>1</v>
      </c>
      <c r="G116" s="4" t="s">
        <v>379</v>
      </c>
      <c r="H116" s="4" t="s">
        <v>379</v>
      </c>
    </row>
    <row r="117" spans="1:8" ht="30" customHeight="1" x14ac:dyDescent="0.35">
      <c r="A117" s="4" t="s">
        <v>435</v>
      </c>
      <c r="B117" s="4">
        <v>83</v>
      </c>
      <c r="C117" s="4" t="s">
        <v>499</v>
      </c>
      <c r="D117" s="4" t="s">
        <v>519</v>
      </c>
      <c r="E117" s="8" t="s">
        <v>47</v>
      </c>
      <c r="F117" s="6">
        <v>1</v>
      </c>
      <c r="G117" s="4" t="s">
        <v>379</v>
      </c>
      <c r="H117" s="4" t="s">
        <v>379</v>
      </c>
    </row>
    <row r="118" spans="1:8" ht="30" customHeight="1" x14ac:dyDescent="0.35">
      <c r="A118" s="4" t="s">
        <v>435</v>
      </c>
      <c r="B118" s="4">
        <v>84</v>
      </c>
      <c r="C118" s="4" t="s">
        <v>499</v>
      </c>
      <c r="D118" s="4" t="s">
        <v>520</v>
      </c>
      <c r="E118" s="8" t="s">
        <v>47</v>
      </c>
      <c r="F118" s="6">
        <v>1</v>
      </c>
      <c r="G118" s="4" t="s">
        <v>379</v>
      </c>
      <c r="H118" s="4" t="s">
        <v>379</v>
      </c>
    </row>
    <row r="119" spans="1:8" ht="30" customHeight="1" x14ac:dyDescent="0.35">
      <c r="A119" s="4" t="s">
        <v>435</v>
      </c>
      <c r="B119" s="4">
        <v>85</v>
      </c>
      <c r="C119" s="4" t="s">
        <v>499</v>
      </c>
      <c r="D119" s="4" t="s">
        <v>521</v>
      </c>
      <c r="E119" s="8" t="s">
        <v>47</v>
      </c>
      <c r="F119" s="6">
        <v>1</v>
      </c>
      <c r="G119" s="4" t="s">
        <v>379</v>
      </c>
      <c r="H119" s="4" t="s">
        <v>379</v>
      </c>
    </row>
    <row r="120" spans="1:8" ht="30" customHeight="1" x14ac:dyDescent="0.35">
      <c r="A120" s="4" t="s">
        <v>435</v>
      </c>
      <c r="B120" s="4">
        <v>86</v>
      </c>
      <c r="C120" s="4" t="s">
        <v>499</v>
      </c>
      <c r="D120" s="4" t="s">
        <v>522</v>
      </c>
      <c r="E120" s="8" t="s">
        <v>47</v>
      </c>
      <c r="F120" s="6">
        <v>1</v>
      </c>
      <c r="G120" s="4" t="s">
        <v>379</v>
      </c>
      <c r="H120" s="4" t="s">
        <v>379</v>
      </c>
    </row>
    <row r="121" spans="1:8" ht="30" customHeight="1" x14ac:dyDescent="0.35">
      <c r="A121" s="4" t="s">
        <v>435</v>
      </c>
      <c r="B121" s="4">
        <v>87</v>
      </c>
      <c r="C121" s="4" t="s">
        <v>499</v>
      </c>
      <c r="D121" s="4" t="s">
        <v>523</v>
      </c>
      <c r="E121" s="8" t="s">
        <v>47</v>
      </c>
      <c r="F121" s="6">
        <v>1</v>
      </c>
      <c r="G121" s="4" t="s">
        <v>415</v>
      </c>
      <c r="H121" s="4" t="s">
        <v>415</v>
      </c>
    </row>
    <row r="122" spans="1:8" ht="30" customHeight="1" x14ac:dyDescent="0.35">
      <c r="A122" s="4" t="s">
        <v>435</v>
      </c>
      <c r="B122" s="4">
        <v>88</v>
      </c>
      <c r="C122" s="4" t="s">
        <v>499</v>
      </c>
      <c r="D122" s="4" t="s">
        <v>524</v>
      </c>
      <c r="E122" s="8" t="s">
        <v>47</v>
      </c>
      <c r="F122" s="6">
        <v>1</v>
      </c>
      <c r="G122" s="4" t="s">
        <v>379</v>
      </c>
      <c r="H122" s="4" t="s">
        <v>379</v>
      </c>
    </row>
    <row r="123" spans="1:8" ht="30" customHeight="1" x14ac:dyDescent="0.35">
      <c r="A123" s="4" t="s">
        <v>435</v>
      </c>
      <c r="B123" s="4">
        <v>89</v>
      </c>
      <c r="C123" s="4" t="s">
        <v>499</v>
      </c>
      <c r="D123" s="4" t="s">
        <v>525</v>
      </c>
      <c r="E123" s="8" t="s">
        <v>47</v>
      </c>
      <c r="F123" s="6">
        <v>1</v>
      </c>
      <c r="G123" s="4" t="s">
        <v>379</v>
      </c>
      <c r="H123" s="4" t="s">
        <v>379</v>
      </c>
    </row>
    <row r="124" spans="1:8" ht="30" customHeight="1" x14ac:dyDescent="0.35">
      <c r="A124" s="4" t="s">
        <v>435</v>
      </c>
      <c r="B124" s="4">
        <v>90</v>
      </c>
      <c r="C124" s="4" t="s">
        <v>499</v>
      </c>
      <c r="D124" s="4" t="s">
        <v>526</v>
      </c>
      <c r="E124" s="8" t="s">
        <v>47</v>
      </c>
      <c r="F124" s="6">
        <v>1</v>
      </c>
      <c r="G124" s="4" t="s">
        <v>379</v>
      </c>
      <c r="H124" s="4" t="s">
        <v>379</v>
      </c>
    </row>
    <row r="125" spans="1:8" ht="30" customHeight="1" x14ac:dyDescent="0.35">
      <c r="A125" s="4" t="s">
        <v>435</v>
      </c>
      <c r="B125" s="4">
        <v>91</v>
      </c>
      <c r="C125" s="4" t="s">
        <v>499</v>
      </c>
      <c r="D125" s="4" t="s">
        <v>527</v>
      </c>
      <c r="E125" s="8" t="s">
        <v>47</v>
      </c>
      <c r="F125" s="6">
        <v>1</v>
      </c>
      <c r="G125" s="4" t="s">
        <v>379</v>
      </c>
      <c r="H125" s="4" t="s">
        <v>379</v>
      </c>
    </row>
    <row r="126" spans="1:8" ht="30" customHeight="1" x14ac:dyDescent="0.35">
      <c r="A126" s="4" t="s">
        <v>435</v>
      </c>
      <c r="B126" s="4">
        <v>92</v>
      </c>
      <c r="C126" s="4" t="s">
        <v>499</v>
      </c>
      <c r="D126" s="4" t="s">
        <v>528</v>
      </c>
      <c r="E126" s="8" t="s">
        <v>47</v>
      </c>
      <c r="F126" s="6">
        <v>1</v>
      </c>
      <c r="G126" s="4" t="s">
        <v>379</v>
      </c>
      <c r="H126" s="4" t="s">
        <v>379</v>
      </c>
    </row>
    <row r="127" spans="1:8" ht="30" customHeight="1" x14ac:dyDescent="0.35">
      <c r="A127" s="4" t="s">
        <v>435</v>
      </c>
      <c r="B127" s="4">
        <v>93</v>
      </c>
      <c r="C127" s="4" t="s">
        <v>499</v>
      </c>
      <c r="D127" s="4" t="s">
        <v>529</v>
      </c>
      <c r="E127" s="8" t="s">
        <v>47</v>
      </c>
      <c r="F127" s="6">
        <v>1</v>
      </c>
      <c r="G127" s="4" t="s">
        <v>379</v>
      </c>
      <c r="H127" s="4" t="s">
        <v>379</v>
      </c>
    </row>
    <row r="128" spans="1:8" ht="30" customHeight="1" x14ac:dyDescent="0.35">
      <c r="A128" s="4" t="s">
        <v>435</v>
      </c>
      <c r="B128" s="4">
        <v>94</v>
      </c>
      <c r="C128" s="4" t="s">
        <v>499</v>
      </c>
      <c r="D128" s="4" t="s">
        <v>530</v>
      </c>
      <c r="E128" s="8" t="s">
        <v>47</v>
      </c>
      <c r="F128" s="6">
        <v>1</v>
      </c>
      <c r="G128" s="4" t="s">
        <v>379</v>
      </c>
      <c r="H128" s="4" t="s">
        <v>379</v>
      </c>
    </row>
    <row r="129" spans="1:8" ht="30" customHeight="1" x14ac:dyDescent="0.35">
      <c r="A129" s="4" t="s">
        <v>435</v>
      </c>
      <c r="B129" s="4">
        <v>95</v>
      </c>
      <c r="C129" s="4" t="s">
        <v>531</v>
      </c>
      <c r="D129" s="4" t="s">
        <v>532</v>
      </c>
      <c r="E129" s="8" t="s">
        <v>47</v>
      </c>
      <c r="F129" s="6">
        <v>1</v>
      </c>
      <c r="G129" s="4" t="s">
        <v>379</v>
      </c>
      <c r="H129" s="4" t="s">
        <v>379</v>
      </c>
    </row>
    <row r="130" spans="1:8" ht="30" customHeight="1" x14ac:dyDescent="0.35">
      <c r="A130" s="4" t="s">
        <v>435</v>
      </c>
      <c r="B130" s="4">
        <v>96</v>
      </c>
      <c r="C130" s="4" t="s">
        <v>531</v>
      </c>
      <c r="D130" s="4" t="s">
        <v>533</v>
      </c>
      <c r="E130" s="8" t="s">
        <v>47</v>
      </c>
      <c r="F130" s="6">
        <v>1</v>
      </c>
      <c r="G130" s="4" t="s">
        <v>415</v>
      </c>
      <c r="H130" s="4" t="s">
        <v>415</v>
      </c>
    </row>
    <row r="131" spans="1:8" ht="30" customHeight="1" x14ac:dyDescent="0.35">
      <c r="A131" s="4" t="s">
        <v>435</v>
      </c>
      <c r="B131" s="4">
        <v>97</v>
      </c>
      <c r="C131" s="4" t="s">
        <v>531</v>
      </c>
      <c r="D131" s="4" t="s">
        <v>534</v>
      </c>
      <c r="E131" s="8" t="s">
        <v>47</v>
      </c>
      <c r="F131" s="6">
        <v>1</v>
      </c>
      <c r="G131" s="4" t="s">
        <v>379</v>
      </c>
      <c r="H131" s="4" t="s">
        <v>379</v>
      </c>
    </row>
    <row r="132" spans="1:8" ht="30" customHeight="1" x14ac:dyDescent="0.35">
      <c r="A132" s="4" t="s">
        <v>435</v>
      </c>
      <c r="B132" s="4">
        <v>98</v>
      </c>
      <c r="C132" s="4" t="s">
        <v>531</v>
      </c>
      <c r="D132" s="4" t="s">
        <v>535</v>
      </c>
      <c r="E132" s="8" t="s">
        <v>47</v>
      </c>
      <c r="F132" s="6">
        <v>1</v>
      </c>
      <c r="G132" s="4" t="s">
        <v>379</v>
      </c>
      <c r="H132" s="4" t="s">
        <v>379</v>
      </c>
    </row>
    <row r="133" spans="1:8" ht="30" customHeight="1" x14ac:dyDescent="0.35">
      <c r="A133" s="4" t="s">
        <v>435</v>
      </c>
      <c r="B133" s="4">
        <v>99</v>
      </c>
      <c r="C133" s="4" t="s">
        <v>531</v>
      </c>
      <c r="D133" s="4" t="s">
        <v>536</v>
      </c>
      <c r="E133" s="8" t="s">
        <v>47</v>
      </c>
      <c r="F133" s="6">
        <v>1</v>
      </c>
      <c r="G133" s="4" t="s">
        <v>379</v>
      </c>
      <c r="H133" s="4" t="s">
        <v>379</v>
      </c>
    </row>
    <row r="134" spans="1:8" ht="30" customHeight="1" x14ac:dyDescent="0.35">
      <c r="A134" s="4" t="s">
        <v>435</v>
      </c>
      <c r="B134" s="4">
        <v>100</v>
      </c>
      <c r="C134" s="4" t="s">
        <v>531</v>
      </c>
      <c r="D134" s="4" t="s">
        <v>537</v>
      </c>
      <c r="E134" s="8" t="s">
        <v>47</v>
      </c>
      <c r="F134" s="6">
        <v>1</v>
      </c>
      <c r="G134" s="4" t="s">
        <v>379</v>
      </c>
      <c r="H134" s="4" t="s">
        <v>379</v>
      </c>
    </row>
    <row r="135" spans="1:8" ht="30" customHeight="1" x14ac:dyDescent="0.35">
      <c r="A135" s="4" t="s">
        <v>435</v>
      </c>
      <c r="B135" s="4">
        <v>101</v>
      </c>
      <c r="C135" s="4" t="s">
        <v>531</v>
      </c>
      <c r="D135" s="4" t="s">
        <v>538</v>
      </c>
      <c r="E135" s="8" t="s">
        <v>47</v>
      </c>
      <c r="F135" s="6">
        <v>1</v>
      </c>
      <c r="G135" s="4" t="s">
        <v>379</v>
      </c>
      <c r="H135" s="4" t="s">
        <v>379</v>
      </c>
    </row>
    <row r="136" spans="1:8" ht="30" customHeight="1" x14ac:dyDescent="0.35">
      <c r="A136" s="4" t="s">
        <v>435</v>
      </c>
      <c r="B136" s="4">
        <v>102</v>
      </c>
      <c r="C136" s="4" t="s">
        <v>531</v>
      </c>
      <c r="D136" s="4" t="s">
        <v>539</v>
      </c>
      <c r="E136" s="8" t="s">
        <v>47</v>
      </c>
      <c r="F136" s="6">
        <v>1</v>
      </c>
      <c r="G136" s="4" t="s">
        <v>379</v>
      </c>
      <c r="H136" s="4" t="s">
        <v>379</v>
      </c>
    </row>
    <row r="137" spans="1:8" ht="30" customHeight="1" x14ac:dyDescent="0.35">
      <c r="A137" s="4" t="s">
        <v>435</v>
      </c>
      <c r="B137" s="4">
        <v>103</v>
      </c>
      <c r="C137" s="4" t="s">
        <v>531</v>
      </c>
      <c r="D137" s="4" t="s">
        <v>540</v>
      </c>
      <c r="E137" s="8" t="s">
        <v>47</v>
      </c>
      <c r="F137" s="6">
        <v>1</v>
      </c>
      <c r="G137" s="4" t="s">
        <v>379</v>
      </c>
      <c r="H137" s="4" t="s">
        <v>379</v>
      </c>
    </row>
    <row r="138" spans="1:8" ht="30" customHeight="1" x14ac:dyDescent="0.35">
      <c r="A138" s="4" t="s">
        <v>435</v>
      </c>
      <c r="B138" s="4">
        <v>104</v>
      </c>
      <c r="C138" s="4" t="s">
        <v>531</v>
      </c>
      <c r="D138" s="4" t="s">
        <v>541</v>
      </c>
      <c r="E138" s="8" t="s">
        <v>47</v>
      </c>
      <c r="F138" s="6">
        <v>1</v>
      </c>
      <c r="G138" s="4" t="s">
        <v>379</v>
      </c>
      <c r="H138" s="4" t="s">
        <v>379</v>
      </c>
    </row>
  </sheetData>
  <autoFilter ref="A1:H13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zoomScaleNormal="100" workbookViewId="0">
      <selection activeCell="L20" sqref="L20"/>
    </sheetView>
  </sheetViews>
  <sheetFormatPr defaultColWidth="8.6328125" defaultRowHeight="14.5" x14ac:dyDescent="0.35"/>
  <cols>
    <col min="1" max="1" width="32" customWidth="1"/>
    <col min="2" max="10" width="13" customWidth="1"/>
    <col min="11" max="11" width="80" customWidth="1"/>
  </cols>
  <sheetData>
    <row r="1" spans="1:11" x14ac:dyDescent="0.35">
      <c r="A1" s="10" t="s">
        <v>542</v>
      </c>
    </row>
    <row r="2" spans="1:11" ht="26" x14ac:dyDescent="0.35">
      <c r="A2" s="3" t="s">
        <v>396</v>
      </c>
      <c r="B2" s="3" t="s">
        <v>383</v>
      </c>
      <c r="C2" s="3" t="s">
        <v>384</v>
      </c>
      <c r="D2" s="3" t="s">
        <v>47</v>
      </c>
      <c r="E2" s="3" t="s">
        <v>39</v>
      </c>
      <c r="F2" s="3" t="s">
        <v>75</v>
      </c>
      <c r="G2" s="3" t="s">
        <v>385</v>
      </c>
      <c r="H2" s="3" t="s">
        <v>386</v>
      </c>
      <c r="I2" s="3" t="s">
        <v>387</v>
      </c>
      <c r="J2" s="3" t="s">
        <v>388</v>
      </c>
      <c r="K2" s="3" t="s">
        <v>543</v>
      </c>
    </row>
    <row r="3" spans="1:11" x14ac:dyDescent="0.35">
      <c r="A3" s="18" t="s">
        <v>401</v>
      </c>
      <c r="B3" s="19">
        <f>COUNTIFS('Other datasets - fields'!$A$2:$A$138,$A3)</f>
        <v>11</v>
      </c>
      <c r="C3" s="19">
        <f>D3+E3+F3+G3</f>
        <v>6</v>
      </c>
      <c r="D3" s="19">
        <f>COUNTIFS('Other datasets - fields'!$A$2:$A$138,$A3,'Other datasets - fields'!$E$2:$E$138,"Identical")</f>
        <v>1</v>
      </c>
      <c r="E3" s="19">
        <f>COUNTIFS('Other datasets - fields'!$A$2:$A$138,$A3,'Other datasets - fields'!$E$2:$E$138,"Similar")</f>
        <v>0</v>
      </c>
      <c r="F3" s="19">
        <f>COUNTIFS('Other datasets - fields'!$A$2:$A$138,$A3,'Other datasets - fields'!$E$2:$E$138,"Low")</f>
        <v>5</v>
      </c>
      <c r="G3" s="19">
        <f>COUNTIFS('Other datasets - fields'!$A$2:$A$138,$A3,'Other datasets - fields'!$E$2:$E$138,"Only A")+COUNTIFS('Other datasets - fields'!$A$2:$A$138,$A3,'Other datasets - fields'!$E$2:$E$138,"Only B")</f>
        <v>0</v>
      </c>
      <c r="H3" s="20">
        <f>IFERROR(D3/C3,"–")</f>
        <v>0.16666666666666666</v>
      </c>
      <c r="I3" s="20">
        <f>IFERROR((D3+E3)/C3,"–")</f>
        <v>0.16666666666666666</v>
      </c>
      <c r="J3" s="21">
        <f>IFERROR(AVERAGEIFS('Other datasets - fields'!$F$2:$F$138,'Other datasets - fields'!$A$2:$A$138,$A3),"–")</f>
        <v>0.41333333333333333</v>
      </c>
      <c r="K3" s="18" t="s">
        <v>544</v>
      </c>
    </row>
    <row r="4" spans="1:11" ht="25" x14ac:dyDescent="0.35">
      <c r="A4" s="18" t="s">
        <v>402</v>
      </c>
      <c r="B4" s="19">
        <f>COUNTIFS('Other datasets - fields'!$A$2:$A$138,$A4)</f>
        <v>19</v>
      </c>
      <c r="C4" s="19">
        <f>D4+E4+F4+G4</f>
        <v>16</v>
      </c>
      <c r="D4" s="19">
        <f>COUNTIFS('Other datasets - fields'!$A$2:$A$138,$A4,'Other datasets - fields'!$E$2:$E$138,"Identical")</f>
        <v>7</v>
      </c>
      <c r="E4" s="19">
        <f>COUNTIFS('Other datasets - fields'!$A$2:$A$138,$A4,'Other datasets - fields'!$E$2:$E$138,"Similar")</f>
        <v>5</v>
      </c>
      <c r="F4" s="19">
        <f>COUNTIFS('Other datasets - fields'!$A$2:$A$138,$A4,'Other datasets - fields'!$E$2:$E$138,"Low")</f>
        <v>3</v>
      </c>
      <c r="G4" s="19">
        <f>COUNTIFS('Other datasets - fields'!$A$2:$A$138,$A4,'Other datasets - fields'!$E$2:$E$138,"Only A")+COUNTIFS('Other datasets - fields'!$A$2:$A$138,$A4,'Other datasets - fields'!$E$2:$E$138,"Only B")</f>
        <v>1</v>
      </c>
      <c r="H4" s="20">
        <f>IFERROR(D4/C4,"–")</f>
        <v>0.4375</v>
      </c>
      <c r="I4" s="20">
        <f>IFERROR((D4+E4)/C4,"–")</f>
        <v>0.75</v>
      </c>
      <c r="J4" s="21">
        <f>IFERROR(AVERAGEIFS('Other datasets - fields'!$F$2:$F$138,'Other datasets - fields'!$A$2:$A$138,$A4),"–")</f>
        <v>0.69437500000000008</v>
      </c>
      <c r="K4" s="18" t="s">
        <v>545</v>
      </c>
    </row>
    <row r="5" spans="1:11" x14ac:dyDescent="0.35">
      <c r="A5" s="18" t="s">
        <v>434</v>
      </c>
      <c r="B5" s="19">
        <f>COUNTIFS('Other datasets - fields'!$A$2:$A$138,$A5)</f>
        <v>3</v>
      </c>
      <c r="C5" s="19">
        <f>D5+E5+F5+G5</f>
        <v>3</v>
      </c>
      <c r="D5" s="19">
        <f>COUNTIFS('Other datasets - fields'!$A$2:$A$138,$A5,'Other datasets - fields'!$E$2:$E$138,"Identical")</f>
        <v>3</v>
      </c>
      <c r="E5" s="19">
        <f>COUNTIFS('Other datasets - fields'!$A$2:$A$138,$A5,'Other datasets - fields'!$E$2:$E$138,"Similar")</f>
        <v>0</v>
      </c>
      <c r="F5" s="19">
        <f>COUNTIFS('Other datasets - fields'!$A$2:$A$138,$A5,'Other datasets - fields'!$E$2:$E$138,"Low")</f>
        <v>0</v>
      </c>
      <c r="G5" s="19">
        <f>COUNTIFS('Other datasets - fields'!$A$2:$A$138,$A5,'Other datasets - fields'!$E$2:$E$138,"Only A")+COUNTIFS('Other datasets - fields'!$A$2:$A$138,$A5,'Other datasets - fields'!$E$2:$E$138,"Only B")</f>
        <v>0</v>
      </c>
      <c r="H5" s="20">
        <f>IFERROR(D5/C5,"–")</f>
        <v>1</v>
      </c>
      <c r="I5" s="20">
        <f>IFERROR((D5+E5)/C5,"–")</f>
        <v>1</v>
      </c>
      <c r="J5" s="21">
        <f>IFERROR(AVERAGEIFS('Other datasets - fields'!$F$2:$F$138,'Other datasets - fields'!$A$2:$A$138,$A5),"–")</f>
        <v>1</v>
      </c>
      <c r="K5" s="18"/>
    </row>
    <row r="6" spans="1:11" ht="25" x14ac:dyDescent="0.35">
      <c r="A6" s="18" t="s">
        <v>435</v>
      </c>
      <c r="B6" s="19">
        <f>COUNTIFS('Other datasets - fields'!$A$2:$A$138,$A6)</f>
        <v>104</v>
      </c>
      <c r="C6" s="19">
        <f>D6+E6+F6+G6</f>
        <v>104</v>
      </c>
      <c r="D6" s="19">
        <f>COUNTIFS('Other datasets - fields'!$A$2:$A$138,$A6,'Other datasets - fields'!$E$2:$E$138,"Identical")</f>
        <v>103</v>
      </c>
      <c r="E6" s="19">
        <f>COUNTIFS('Other datasets - fields'!$A$2:$A$138,$A6,'Other datasets - fields'!$E$2:$E$138,"Similar")</f>
        <v>0</v>
      </c>
      <c r="F6" s="19">
        <f>COUNTIFS('Other datasets - fields'!$A$2:$A$138,$A6,'Other datasets - fields'!$E$2:$E$138,"Low")</f>
        <v>1</v>
      </c>
      <c r="G6" s="19">
        <f>COUNTIFS('Other datasets - fields'!$A$2:$A$138,$A6,'Other datasets - fields'!$E$2:$E$138,"Only A")+COUNTIFS('Other datasets - fields'!$A$2:$A$138,$A6,'Other datasets - fields'!$E$2:$E$138,"Only B")</f>
        <v>0</v>
      </c>
      <c r="H6" s="20">
        <f>IFERROR(D6/C6,"–")</f>
        <v>0.99038461538461542</v>
      </c>
      <c r="I6" s="20">
        <f>IFERROR((D6+E6)/C6,"–")</f>
        <v>0.99038461538461542</v>
      </c>
      <c r="J6" s="21">
        <f>IFERROR(AVERAGEIFS('Other datasets - fields'!$F$2:$F$138,'Other datasets - fields'!$A$2:$A$138,$A6),"–")</f>
        <v>0.99038461538461542</v>
      </c>
      <c r="K6" s="18" t="s">
        <v>546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Per field</vt:lpstr>
      <vt:lpstr>Per theme</vt:lpstr>
      <vt:lpstr>Other datasets - fields</vt:lpstr>
      <vt:lpstr>Other datasets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Nan Bai</cp:lastModifiedBy>
  <cp:revision>0</cp:revision>
  <dcterms:created xsi:type="dcterms:W3CDTF">2026-10-06T10:35:10Z</dcterms:created>
  <dcterms:modified xsi:type="dcterms:W3CDTF">2026-10-08T20:15:32Z</dcterms:modified>
  <dc:language>en-US</dc:language>
</cp:coreProperties>
</file>